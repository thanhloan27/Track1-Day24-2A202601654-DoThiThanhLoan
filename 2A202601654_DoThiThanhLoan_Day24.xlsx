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3040" windowHeight="8400" tabRatio="500" firstSheet="0" activeTab="0" autoFilterDateGrouping="1"/>
  </bookViews>
  <sheets>
    <sheet xmlns:r="http://schemas.openxmlformats.org/officeDocument/2006/relationships" name="1. Assumptions" sheetId="1" state="visible" r:id="rId1"/>
    <sheet xmlns:r="http://schemas.openxmlformats.org/officeDocument/2006/relationships" name="2. Unit Economics" sheetId="2" state="visible" r:id="rId2"/>
    <sheet xmlns:r="http://schemas.openxmlformats.org/officeDocument/2006/relationships" name="3. P&amp;L &amp; ROI" sheetId="3" state="visible" r:id="rId3"/>
    <sheet xmlns:r="http://schemas.openxmlformats.org/officeDocument/2006/relationships" name="4. Sensitivity" sheetId="4" state="visible" r:id="rId4"/>
  </sheets>
  <definedNames/>
  <calcPr calcId="191029" fullCalcOnLoad="1"/>
</workbook>
</file>

<file path=xl/styles.xml><?xml version="1.0" encoding="utf-8"?>
<styleSheet xmlns="http://schemas.openxmlformats.org/spreadsheetml/2006/main">
  <numFmts count="7">
    <numFmt numFmtId="164" formatCode="#,##0;\(#,##0\);\-"/>
    <numFmt numFmtId="165" formatCode="0.0%;\(0.0%\);\-"/>
    <numFmt numFmtId="166" formatCode="0.0&quot; tháng&quot;"/>
    <numFmt numFmtId="167" formatCode="0.00\x"/>
    <numFmt numFmtId="168" formatCode="0.00%;\(0.00%\);\-"/>
    <numFmt numFmtId="169" formatCode="0.0%"/>
    <numFmt numFmtId="170" formatCode="#,##0.0"/>
  </numFmts>
  <fonts count="41">
    <font>
      <name val="Calibri"/>
      <charset val="1"/>
      <color theme="1"/>
      <sz val="11"/>
    </font>
    <font>
      <name val="Arial"/>
      <charset val="1"/>
      <b val="1"/>
      <color rgb="FFFFFFFF"/>
      <sz val="16"/>
    </font>
    <font>
      <name val="Arial"/>
      <charset val="1"/>
      <b val="1"/>
      <color rgb="FF0F3460"/>
      <sz val="11"/>
    </font>
    <font>
      <name val="Arial"/>
      <charset val="1"/>
      <b val="1"/>
      <color rgb="FF0000FF"/>
      <sz val="11"/>
    </font>
    <font>
      <name val="Arial"/>
      <charset val="1"/>
      <i val="1"/>
      <color rgb="FF64748B"/>
      <sz val="9"/>
    </font>
    <font>
      <name val="Arial"/>
      <charset val="1"/>
      <b val="1"/>
      <i val="1"/>
      <color rgb="FF0F3460"/>
      <sz val="9"/>
    </font>
    <font>
      <name val="Arial"/>
      <charset val="1"/>
      <i val="1"/>
      <color rgb="FF008000"/>
      <sz val="9"/>
    </font>
    <font>
      <name val="Arial"/>
      <charset val="1"/>
      <b val="1"/>
      <color rgb="FFFFFFFF"/>
      <sz val="11"/>
    </font>
    <font>
      <name val="Arial"/>
      <charset val="1"/>
      <b val="1"/>
      <sz val="10"/>
    </font>
    <font>
      <name val="Arial"/>
      <charset val="1"/>
      <b val="1"/>
      <sz val="9"/>
    </font>
    <font>
      <name val="Arial"/>
      <charset val="1"/>
      <color rgb="FF000000"/>
      <sz val="10"/>
    </font>
    <font>
      <name val="Arial"/>
      <charset val="1"/>
      <sz val="9"/>
    </font>
    <font>
      <name val="Arial"/>
      <charset val="1"/>
      <b val="1"/>
      <color rgb="FF000000"/>
      <sz val="10"/>
    </font>
    <font>
      <name val="Arial"/>
      <charset val="1"/>
      <b val="1"/>
      <color rgb="FF000000"/>
      <sz val="11"/>
    </font>
    <font>
      <name val="Arial"/>
      <charset val="1"/>
      <b val="1"/>
      <sz val="11"/>
    </font>
    <font>
      <name val="Arial"/>
      <charset val="1"/>
      <i val="1"/>
      <color rgb="FF94A3B8"/>
      <sz val="8"/>
    </font>
    <font>
      <name val="Arial"/>
      <charset val="1"/>
      <b val="1"/>
      <sz val="12"/>
    </font>
    <font>
      <name val="Arial"/>
      <charset val="1"/>
      <color rgb="FF008000"/>
      <sz val="10"/>
    </font>
    <font>
      <name val="Arial"/>
      <charset val="1"/>
      <b val="1"/>
      <color rgb="FF0000FF"/>
      <sz val="10"/>
    </font>
    <font>
      <name val="Arial"/>
      <charset val="1"/>
      <i val="1"/>
      <color rgb="FF0000FF"/>
      <sz val="10"/>
    </font>
    <font>
      <name val="Arial"/>
      <charset val="134"/>
      <sz val="10"/>
    </font>
    <font>
      <name val="Calibri"/>
      <charset val="0"/>
      <color rgb="FF0000FF"/>
      <sz val="11"/>
      <u val="single"/>
      <scheme val="minor"/>
    </font>
    <font>
      <name val="Calibri"/>
      <charset val="0"/>
      <color rgb="FF800080"/>
      <sz val="11"/>
      <u val="single"/>
      <scheme val="minor"/>
    </font>
    <font>
      <name val="Calibri"/>
      <charset val="134"/>
      <color theme="1"/>
      <sz val="11"/>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A1A2E"/>
        <bgColor rgb="FF0F3460"/>
      </patternFill>
    </fill>
    <fill>
      <patternFill patternType="solid">
        <fgColor rgb="FFFFFF00"/>
        <bgColor rgb="FFFFFF00"/>
      </patternFill>
    </fill>
    <fill>
      <patternFill patternType="solid">
        <fgColor rgb="FF0F3460"/>
        <bgColor rgb="FF1A1A2E"/>
      </patternFill>
    </fill>
    <fill>
      <patternFill patternType="solid">
        <fgColor rgb="FFF1F5F9"/>
        <bgColor rgb="FFFFFFFF"/>
      </patternFill>
    </fill>
    <fill>
      <patternFill patternType="solid">
        <fgColor rgb="FFDCFCE7"/>
        <bgColor rgb="FFCCFFCC"/>
      </patternFill>
    </fill>
    <fill>
      <patternFill patternType="solid">
        <fgColor rgb="FFFEF3C7"/>
        <bgColor rgb="FFFEE2E2"/>
      </patternFill>
    </fill>
    <fill>
      <patternFill patternType="solid">
        <fgColor rgb="FFFEE2E2"/>
        <bgColor rgb="FFFEF3C7"/>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rgb="FFCBD5E1"/>
      </left>
      <right style="thin">
        <color rgb="FFCBD5E1"/>
      </right>
      <top style="thin">
        <color rgb="FFCBD5E1"/>
      </top>
      <bottom style="thin">
        <color rgb="FFCBD5E1"/>
      </bottom>
      <diagonal/>
    </border>
    <border>
      <left/>
      <right/>
      <top style="medium">
        <color rgb="FF64748B"/>
      </top>
      <bottom/>
      <diagonal/>
    </border>
    <border>
      <left style="thin">
        <color rgb="FFCBD5E1"/>
      </left>
      <right/>
      <top style="thin">
        <color rgb="FFCBD5E1"/>
      </top>
      <bottom/>
      <diagonal/>
    </border>
    <border>
      <left/>
      <right/>
      <top style="thin">
        <color rgb="FFCBD5E1"/>
      </top>
      <bottom/>
      <diagonal/>
    </border>
    <border>
      <left style="thin">
        <color rgb="FFCBD5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0" fillId="0" borderId="0"/>
    <xf numFmtId="44" fontId="20" fillId="0" borderId="0"/>
    <xf numFmtId="9" fontId="20" fillId="0" borderId="0"/>
    <xf numFmtId="41" fontId="20" fillId="0" borderId="0"/>
    <xf numFmtId="42" fontId="20" fillId="0" borderId="0"/>
    <xf numFmtId="0" fontId="21" fillId="0" borderId="0" applyAlignment="1">
      <alignment vertical="center"/>
    </xf>
    <xf numFmtId="0" fontId="22" fillId="0" borderId="0" applyAlignment="1">
      <alignment vertical="center"/>
    </xf>
    <xf numFmtId="0" fontId="23" fillId="9" borderId="6" applyAlignment="1">
      <alignment vertical="center"/>
    </xf>
    <xf numFmtId="0" fontId="24" fillId="0" borderId="0" applyAlignment="1">
      <alignment vertical="center"/>
    </xf>
    <xf numFmtId="0" fontId="25" fillId="0" borderId="0" applyAlignment="1">
      <alignment vertical="center"/>
    </xf>
    <xf numFmtId="0" fontId="26" fillId="0" borderId="0" applyAlignment="1">
      <alignment vertical="center"/>
    </xf>
    <xf numFmtId="0" fontId="27" fillId="0" borderId="7" applyAlignment="1">
      <alignment vertical="center"/>
    </xf>
    <xf numFmtId="0" fontId="28" fillId="0" borderId="7" applyAlignment="1">
      <alignment vertical="center"/>
    </xf>
    <xf numFmtId="0" fontId="29" fillId="0" borderId="8" applyAlignment="1">
      <alignment vertical="center"/>
    </xf>
    <xf numFmtId="0" fontId="29" fillId="0" borderId="0" applyAlignment="1">
      <alignment vertical="center"/>
    </xf>
    <xf numFmtId="0" fontId="30" fillId="10" borderId="9" applyAlignment="1">
      <alignment vertical="center"/>
    </xf>
    <xf numFmtId="0" fontId="31" fillId="11" borderId="10" applyAlignment="1">
      <alignment vertical="center"/>
    </xf>
    <xf numFmtId="0" fontId="32" fillId="11" borderId="9" applyAlignment="1">
      <alignment vertical="center"/>
    </xf>
    <xf numFmtId="0" fontId="33" fillId="12" borderId="11" applyAlignment="1">
      <alignment vertical="center"/>
    </xf>
    <xf numFmtId="0" fontId="34" fillId="0" borderId="12" applyAlignment="1">
      <alignment vertical="center"/>
    </xf>
    <xf numFmtId="0" fontId="35" fillId="0" borderId="13" applyAlignment="1">
      <alignment vertical="center"/>
    </xf>
    <xf numFmtId="0" fontId="36" fillId="13" borderId="0" applyAlignment="1">
      <alignment vertical="center"/>
    </xf>
    <xf numFmtId="0" fontId="37" fillId="14" borderId="0" applyAlignment="1">
      <alignment vertical="center"/>
    </xf>
    <xf numFmtId="0" fontId="38" fillId="15" borderId="0" applyAlignment="1">
      <alignment vertical="center"/>
    </xf>
    <xf numFmtId="0" fontId="39" fillId="16" borderId="0" applyAlignment="1">
      <alignment vertical="center"/>
    </xf>
    <xf numFmtId="0" fontId="40" fillId="17" borderId="0" applyAlignment="1">
      <alignment vertical="center"/>
    </xf>
    <xf numFmtId="0" fontId="40" fillId="18" borderId="0" applyAlignment="1">
      <alignment vertical="center"/>
    </xf>
    <xf numFmtId="0" fontId="39" fillId="19" borderId="0" applyAlignment="1">
      <alignment vertical="center"/>
    </xf>
    <xf numFmtId="0" fontId="39" fillId="20" borderId="0" applyAlignment="1">
      <alignment vertical="center"/>
    </xf>
    <xf numFmtId="0" fontId="40" fillId="21" borderId="0" applyAlignment="1">
      <alignment vertical="center"/>
    </xf>
    <xf numFmtId="0" fontId="40" fillId="22" borderId="0" applyAlignment="1">
      <alignment vertical="center"/>
    </xf>
    <xf numFmtId="0" fontId="39" fillId="23" borderId="0" applyAlignment="1">
      <alignment vertical="center"/>
    </xf>
    <xf numFmtId="0" fontId="39" fillId="24" borderId="0" applyAlignment="1">
      <alignment vertical="center"/>
    </xf>
    <xf numFmtId="0" fontId="40" fillId="25" borderId="0" applyAlignment="1">
      <alignment vertical="center"/>
    </xf>
    <xf numFmtId="0" fontId="40" fillId="26" borderId="0" applyAlignment="1">
      <alignment vertical="center"/>
    </xf>
    <xf numFmtId="0" fontId="39" fillId="27" borderId="0" applyAlignment="1">
      <alignment vertical="center"/>
    </xf>
    <xf numFmtId="0" fontId="39" fillId="28" borderId="0" applyAlignment="1">
      <alignment vertical="center"/>
    </xf>
    <xf numFmtId="0" fontId="40" fillId="29" borderId="0" applyAlignment="1">
      <alignment vertical="center"/>
    </xf>
    <xf numFmtId="0" fontId="40" fillId="30" borderId="0" applyAlignment="1">
      <alignment vertical="center"/>
    </xf>
    <xf numFmtId="0" fontId="39" fillId="31" borderId="0" applyAlignment="1">
      <alignment vertical="center"/>
    </xf>
    <xf numFmtId="0" fontId="39" fillId="32" borderId="0" applyAlignment="1">
      <alignment vertical="center"/>
    </xf>
    <xf numFmtId="0" fontId="40" fillId="33" borderId="0" applyAlignment="1">
      <alignment vertical="center"/>
    </xf>
    <xf numFmtId="0" fontId="40" fillId="34" borderId="0" applyAlignment="1">
      <alignment vertical="center"/>
    </xf>
    <xf numFmtId="0" fontId="39" fillId="35" borderId="0" applyAlignment="1">
      <alignment vertical="center"/>
    </xf>
    <xf numFmtId="0" fontId="39" fillId="36" borderId="0" applyAlignment="1">
      <alignment vertical="center"/>
    </xf>
    <xf numFmtId="0" fontId="40" fillId="37" borderId="0" applyAlignment="1">
      <alignment vertical="center"/>
    </xf>
    <xf numFmtId="0" fontId="40" fillId="38" borderId="0" applyAlignment="1">
      <alignment vertical="center"/>
    </xf>
    <xf numFmtId="0" fontId="39" fillId="39" borderId="0" applyAlignment="1">
      <alignment vertical="center"/>
    </xf>
  </cellStyleXfs>
  <cellXfs count="8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right" vertical="center"/>
    </xf>
    <xf numFmtId="0" fontId="3" fillId="3" borderId="1" applyAlignment="1" pivotButton="0" quotePrefix="0" xfId="0">
      <alignment horizontal="center" vertical="center"/>
    </xf>
    <xf numFmtId="0" fontId="4" fillId="0" borderId="0" applyAlignment="1" pivotButton="0" quotePrefix="0" xfId="0">
      <alignment horizontal="left" vertical="center" wrapText="1"/>
    </xf>
    <xf numFmtId="0" fontId="4" fillId="0" borderId="0" pivotButton="0" quotePrefix="0" xfId="0"/>
    <xf numFmtId="0" fontId="5" fillId="0" borderId="0" pivotButton="0" quotePrefix="0" xfId="0"/>
    <xf numFmtId="0" fontId="4" fillId="0" borderId="0" applyAlignment="1" pivotButton="0" quotePrefix="0" xfId="0">
      <alignment horizontal="left" vertical="center" indent="1"/>
    </xf>
    <xf numFmtId="164" fontId="6" fillId="0" borderId="0" applyAlignment="1" pivotButton="0" quotePrefix="0" xfId="0">
      <alignment horizontal="right" vertical="center"/>
    </xf>
    <xf numFmtId="165" fontId="6" fillId="0" borderId="0" applyAlignment="1" pivotButton="0" quotePrefix="0" xfId="0">
      <alignment horizontal="right" vertical="center"/>
    </xf>
    <xf numFmtId="0" fontId="7" fillId="4" borderId="0" applyAlignment="1" pivotButton="0" quotePrefix="0" xfId="0">
      <alignment horizontal="left" vertical="center" indent="1"/>
    </xf>
    <xf numFmtId="0" fontId="8" fillId="5" borderId="0" pivotButton="0" quotePrefix="0" xfId="0"/>
    <xf numFmtId="0" fontId="9" fillId="5" borderId="0" applyAlignment="1" pivotButton="0" quotePrefix="0" xfId="0">
      <alignment horizontal="center"/>
    </xf>
    <xf numFmtId="0" fontId="8" fillId="5" borderId="0" applyAlignment="1" pivotButton="0" quotePrefix="0" xfId="0">
      <alignment horizontal="center"/>
    </xf>
    <xf numFmtId="0" fontId="10" fillId="0" borderId="0" applyAlignment="1" pivotButton="0" quotePrefix="0" xfId="0">
      <alignment horizontal="left" vertical="center" indent="1"/>
    </xf>
    <xf numFmtId="164" fontId="11" fillId="0" borderId="0" applyAlignment="1" pivotButton="0" quotePrefix="0" xfId="0">
      <alignment horizontal="right"/>
    </xf>
    <xf numFmtId="164" fontId="8" fillId="0" borderId="0" pivotButton="0" quotePrefix="0" xfId="0"/>
    <xf numFmtId="0" fontId="12" fillId="6" borderId="0" applyAlignment="1" pivotButton="0" quotePrefix="0" xfId="0">
      <alignment horizontal="left" vertical="center"/>
    </xf>
    <xf numFmtId="164" fontId="9" fillId="6" borderId="0" applyAlignment="1" pivotButton="0" quotePrefix="0" xfId="0">
      <alignment horizontal="right"/>
    </xf>
    <xf numFmtId="164" fontId="8" fillId="6" borderId="0" pivotButton="0" quotePrefix="0" xfId="0"/>
    <xf numFmtId="0" fontId="12" fillId="0" borderId="0" applyAlignment="1" pivotButton="0" quotePrefix="0" xfId="0">
      <alignment horizontal="left" vertical="center"/>
    </xf>
    <xf numFmtId="164" fontId="9" fillId="0" borderId="0" applyAlignment="1" pivotButton="0" quotePrefix="0" xfId="0">
      <alignment horizontal="right"/>
    </xf>
    <xf numFmtId="0" fontId="12" fillId="5" borderId="0" applyAlignment="1" pivotButton="0" quotePrefix="0" xfId="0">
      <alignment horizontal="left" vertical="center"/>
    </xf>
    <xf numFmtId="164" fontId="9" fillId="5" borderId="0" applyAlignment="1" pivotButton="0" quotePrefix="0" xfId="0">
      <alignment horizontal="right"/>
    </xf>
    <xf numFmtId="164" fontId="8" fillId="5" borderId="0" pivotButton="0" quotePrefix="0" xfId="0"/>
    <xf numFmtId="0" fontId="12" fillId="7" borderId="0" applyAlignment="1" pivotButton="0" quotePrefix="0" xfId="0">
      <alignment horizontal="left" vertical="center"/>
    </xf>
    <xf numFmtId="164" fontId="9" fillId="7" borderId="0" applyAlignment="1" pivotButton="0" quotePrefix="0" xfId="0">
      <alignment horizontal="right"/>
    </xf>
    <xf numFmtId="164" fontId="13" fillId="0" borderId="0" applyAlignment="1" pivotButton="0" quotePrefix="0" xfId="0">
      <alignment horizontal="right"/>
    </xf>
    <xf numFmtId="165" fontId="14" fillId="0" borderId="0" applyAlignment="1" pivotButton="0" quotePrefix="0" xfId="0">
      <alignment horizontal="right"/>
    </xf>
    <xf numFmtId="0" fontId="14" fillId="0" borderId="0" applyAlignment="1" pivotButton="0" quotePrefix="0" xfId="0">
      <alignment horizontal="right"/>
    </xf>
    <xf numFmtId="0" fontId="15" fillId="0" borderId="0" pivotButton="0" quotePrefix="0" xfId="0"/>
    <xf numFmtId="164" fontId="15" fillId="0" borderId="0" applyAlignment="1" pivotButton="0" quotePrefix="0" xfId="0">
      <alignment horizontal="right"/>
    </xf>
    <xf numFmtId="0" fontId="16" fillId="0" borderId="0" applyAlignment="1" pivotButton="0" quotePrefix="0" xfId="0">
      <alignment horizontal="left" vertical="center"/>
    </xf>
    <xf numFmtId="0" fontId="12" fillId="6" borderId="0" applyAlignment="1" pivotButton="0" quotePrefix="0" xfId="0">
      <alignment horizontal="center"/>
    </xf>
    <xf numFmtId="0" fontId="12" fillId="5" borderId="0" applyAlignment="1" pivotButton="0" quotePrefix="0" xfId="0">
      <alignment horizontal="center"/>
    </xf>
    <xf numFmtId="0" fontId="12" fillId="8" borderId="0" applyAlignment="1" pivotButton="0" quotePrefix="0" xfId="0">
      <alignment horizontal="center"/>
    </xf>
    <xf numFmtId="0" fontId="12" fillId="0" borderId="0" applyAlignment="1" pivotButton="0" quotePrefix="0" xfId="0">
      <alignment horizontal="center"/>
    </xf>
    <xf numFmtId="164" fontId="17" fillId="0" borderId="0" applyAlignment="1" pivotButton="0" quotePrefix="0" xfId="0">
      <alignment horizontal="right" vertical="center"/>
    </xf>
    <xf numFmtId="0" fontId="10" fillId="0" borderId="0" applyAlignment="1" pivotButton="0" quotePrefix="0" xfId="0">
      <alignment horizontal="center"/>
    </xf>
    <xf numFmtId="164" fontId="12" fillId="5" borderId="0" applyAlignment="1" pivotButton="0" quotePrefix="0" xfId="0">
      <alignment horizontal="right" vertical="center"/>
    </xf>
    <xf numFmtId="0" fontId="0" fillId="5" borderId="0" pivotButton="0" quotePrefix="0" xfId="0"/>
    <xf numFmtId="165" fontId="12" fillId="5" borderId="0" applyAlignment="1" pivotButton="0" quotePrefix="0" xfId="0">
      <alignment horizontal="right" vertical="center"/>
    </xf>
    <xf numFmtId="166" fontId="17" fillId="0" borderId="0" applyAlignment="1" pivotButton="0" quotePrefix="0" xfId="0">
      <alignment horizontal="right" vertical="center"/>
    </xf>
    <xf numFmtId="167" fontId="12" fillId="5" borderId="0" applyAlignment="1" pivotButton="0" quotePrefix="0" xfId="0">
      <alignment horizontal="right" vertical="center"/>
    </xf>
    <xf numFmtId="166" fontId="12" fillId="5" borderId="0" applyAlignment="1" pivotButton="0" quotePrefix="0" xfId="0">
      <alignment horizontal="right" vertical="center"/>
    </xf>
    <xf numFmtId="0" fontId="14" fillId="0" borderId="0" applyAlignment="1" pivotButton="0" quotePrefix="0" xfId="0">
      <alignment horizontal="center" vertical="center"/>
    </xf>
    <xf numFmtId="164" fontId="18" fillId="3" borderId="1" applyAlignment="1" pivotButton="0" quotePrefix="0" xfId="0">
      <alignment horizontal="right" vertical="center"/>
    </xf>
    <xf numFmtId="168" fontId="18" fillId="3" borderId="1" applyAlignment="1" pivotButton="0" quotePrefix="0" xfId="0">
      <alignment horizontal="right" vertical="center"/>
    </xf>
    <xf numFmtId="165" fontId="18" fillId="3" borderId="1" applyAlignment="1" pivotButton="0" quotePrefix="0" xfId="0">
      <alignment horizontal="right" vertical="center"/>
    </xf>
    <xf numFmtId="0" fontId="12" fillId="5" borderId="2" applyAlignment="1" pivotButton="0" quotePrefix="0" xfId="0">
      <alignment horizontal="left" vertical="center"/>
    </xf>
    <xf numFmtId="164" fontId="12" fillId="5" borderId="2" applyAlignment="1" pivotButton="0" quotePrefix="0" xfId="0">
      <alignment horizontal="right" vertical="center"/>
    </xf>
    <xf numFmtId="0" fontId="0" fillId="5" borderId="2" pivotButton="0" quotePrefix="0" xfId="0"/>
    <xf numFmtId="0" fontId="19" fillId="3" borderId="3" applyAlignment="1" pivotButton="0" quotePrefix="0" xfId="0">
      <alignment horizontal="left" vertical="top" wrapText="1"/>
    </xf>
    <xf numFmtId="0" fontId="0" fillId="0" borderId="4" pivotButton="0" quotePrefix="0" xfId="0"/>
    <xf numFmtId="0" fontId="0" fillId="0" borderId="5" pivotButton="0" quotePrefix="0" xfId="0"/>
    <xf numFmtId="164" fontId="18" fillId="3" borderId="1" applyAlignment="1" pivotButton="0" quotePrefix="0" xfId="0">
      <alignment horizontal="right" vertical="center"/>
    </xf>
    <xf numFmtId="168" fontId="18" fillId="3" borderId="1" applyAlignment="1" pivotButton="0" quotePrefix="0" xfId="0">
      <alignment horizontal="right" vertical="center"/>
    </xf>
    <xf numFmtId="165" fontId="18" fillId="3" borderId="1" applyAlignment="1" pivotButton="0" quotePrefix="0" xfId="0">
      <alignment horizontal="right" vertical="center"/>
    </xf>
    <xf numFmtId="164" fontId="12" fillId="5" borderId="2" applyAlignment="1" pivotButton="0" quotePrefix="0" xfId="0">
      <alignment horizontal="right" vertical="center"/>
    </xf>
    <xf numFmtId="166" fontId="12" fillId="5" borderId="0" applyAlignment="1" pivotButton="0" quotePrefix="0" xfId="0">
      <alignment horizontal="right" vertical="center"/>
    </xf>
    <xf numFmtId="164" fontId="12" fillId="5" borderId="0" applyAlignment="1" pivotButton="0" quotePrefix="0" xfId="0">
      <alignment horizontal="right" vertical="center"/>
    </xf>
    <xf numFmtId="165" fontId="12" fillId="5" borderId="0" applyAlignment="1" pivotButton="0" quotePrefix="0" xfId="0">
      <alignment horizontal="right" vertical="center"/>
    </xf>
    <xf numFmtId="164" fontId="17" fillId="0" borderId="0" applyAlignment="1" pivotButton="0" quotePrefix="0" xfId="0">
      <alignment horizontal="right" vertical="center"/>
    </xf>
    <xf numFmtId="166" fontId="17" fillId="0" borderId="0" applyAlignment="1" pivotButton="0" quotePrefix="0" xfId="0">
      <alignment horizontal="right" vertical="center"/>
    </xf>
    <xf numFmtId="167" fontId="12" fillId="5" borderId="0" applyAlignment="1" pivotButton="0" quotePrefix="0" xfId="0">
      <alignment horizontal="right" vertical="center"/>
    </xf>
    <xf numFmtId="164" fontId="6" fillId="0" borderId="0" applyAlignment="1" pivotButton="0" quotePrefix="0" xfId="0">
      <alignment horizontal="right" vertical="center"/>
    </xf>
    <xf numFmtId="165" fontId="6" fillId="0" borderId="0" applyAlignment="1" pivotButton="0" quotePrefix="0" xfId="0">
      <alignment horizontal="right" vertical="center"/>
    </xf>
    <xf numFmtId="164" fontId="11" fillId="0" borderId="0" applyAlignment="1" pivotButton="0" quotePrefix="0" xfId="0">
      <alignment horizontal="right"/>
    </xf>
    <xf numFmtId="164" fontId="8" fillId="0" borderId="0" pivotButton="0" quotePrefix="0" xfId="0"/>
    <xf numFmtId="164" fontId="9" fillId="6" borderId="0" applyAlignment="1" pivotButton="0" quotePrefix="0" xfId="0">
      <alignment horizontal="right"/>
    </xf>
    <xf numFmtId="164" fontId="8" fillId="6" borderId="0" pivotButton="0" quotePrefix="0" xfId="0"/>
    <xf numFmtId="164" fontId="9" fillId="0" borderId="0" applyAlignment="1" pivotButton="0" quotePrefix="0" xfId="0">
      <alignment horizontal="right"/>
    </xf>
    <xf numFmtId="164" fontId="9" fillId="5" borderId="0" applyAlignment="1" pivotButton="0" quotePrefix="0" xfId="0">
      <alignment horizontal="right"/>
    </xf>
    <xf numFmtId="164" fontId="8" fillId="5" borderId="0" pivotButton="0" quotePrefix="0" xfId="0"/>
    <xf numFmtId="164" fontId="9" fillId="7" borderId="0" applyAlignment="1" pivotButton="0" quotePrefix="0" xfId="0">
      <alignment horizontal="right"/>
    </xf>
    <xf numFmtId="164" fontId="13" fillId="0" borderId="0" applyAlignment="1" pivotButton="0" quotePrefix="0" xfId="0">
      <alignment horizontal="right"/>
    </xf>
    <xf numFmtId="165" fontId="14" fillId="0" borderId="0" applyAlignment="1" pivotButton="0" quotePrefix="0" xfId="0">
      <alignment horizontal="right"/>
    </xf>
    <xf numFmtId="164" fontId="15" fillId="0" borderId="0" applyAlignment="1" pivotButton="0" quotePrefix="0" xfId="0">
      <alignment horizontal="right"/>
    </xf>
    <xf numFmtId="169" fontId="12" fillId="5" borderId="0" applyAlignment="1" pivotButton="0" quotePrefix="0" xfId="0">
      <alignment horizontal="center"/>
    </xf>
    <xf numFmtId="3" fontId="12" fillId="5" borderId="0" applyAlignment="1" pivotButton="0" quotePrefix="0" xfId="0">
      <alignment horizontal="right"/>
    </xf>
    <xf numFmtId="2" fontId="12" fillId="5" borderId="2" applyAlignment="1" pivotButton="0" quotePrefix="0" xfId="0">
      <alignment horizontal="left" vertical="center"/>
    </xf>
    <xf numFmtId="0" fontId="0" fillId="0" borderId="0" applyAlignment="1" pivotButton="0" quotePrefix="0" xfId="0">
      <alignment vertical="top" wrapText="1"/>
    </xf>
    <xf numFmtId="170" fontId="12" fillId="5" borderId="2" applyAlignment="1" pivotButton="0" quotePrefix="0" xfId="0">
      <alignment horizontal="left" vertical="center"/>
    </xf>
    <xf numFmtId="0" fontId="12" fillId="5" borderId="0" applyAlignment="1" pivotButton="0" quotePrefix="0" xfId="0">
      <alignment horizontal="right"/>
    </xf>
    <xf numFmtId="3" fontId="12" fillId="5" borderId="2" applyAlignment="1" pivotButton="0" quotePrefix="0" xfId="0">
      <alignment horizontal="left" vertical="center"/>
    </xf>
    <xf numFmtId="0" fontId="0" fillId="0" borderId="0" applyAlignment="1" pivotButton="0" quotePrefix="0" xfId="0">
      <alignment horizontal="left"/>
    </xf>
    <xf numFmtId="49" fontId="12" fillId="5" borderId="2" applyAlignment="1" pivotButton="0" quotePrefix="0" xfId="0">
      <alignment horizontal="left" vertical="center"/>
    </xf>
    <xf numFmtId="1" fontId="12" fillId="5" borderId="2"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8">
    <dxf>
      <font>
        <name val="Arial"/>
        <charset val="1"/>
        <family val="0"/>
        <b val="1"/>
        <color rgb="FFDC2626"/>
        <sz val="10"/>
      </font>
      <fill>
        <patternFill patternType="solid">
          <bgColor rgb="FFFEE2E2"/>
        </patternFill>
      </fill>
    </dxf>
    <dxf>
      <font>
        <name val="Arial"/>
        <charset val="1"/>
        <family val="0"/>
        <b val="1"/>
        <color rgb="FFD97706"/>
        <sz val="10"/>
      </font>
      <fill>
        <patternFill patternType="solid">
          <bgColor rgb="FFFEF3C7"/>
        </patternFill>
      </fill>
    </dxf>
    <dxf>
      <font>
        <name val="Arial"/>
        <charset val="1"/>
        <family val="0"/>
        <b val="1"/>
        <color rgb="FF16A34A"/>
        <sz val="10"/>
      </font>
      <fill>
        <patternFill patternType="solid">
          <bgColor rgb="FFDCFCE7"/>
        </patternFill>
      </fill>
    </dxf>
    <dxf>
      <font>
        <name val="Arial"/>
        <charset val="1"/>
        <family val="0"/>
        <b val="1"/>
        <color rgb="FFDC2626"/>
        <sz val="9"/>
      </font>
      <fill>
        <patternFill patternType="solid">
          <bgColor rgb="FFFEE2E2"/>
        </patternFill>
      </fill>
    </dxf>
    <dxf>
      <font>
        <name val="Arial"/>
        <charset val="1"/>
        <family val="0"/>
        <b val="1"/>
        <color rgb="FF16A34A"/>
        <sz val="11"/>
      </font>
      <fill>
        <patternFill patternType="solid">
          <bgColor rgb="FFDCFCE7"/>
        </patternFill>
      </fill>
    </dxf>
    <dxf>
      <font>
        <name val="Arial"/>
        <charset val="1"/>
        <family val="0"/>
        <b val="1"/>
        <color rgb="FFDC2626"/>
        <sz val="11"/>
      </font>
      <fill>
        <patternFill patternType="solid">
          <bgColor rgb="FFFEE2E2"/>
        </patternFill>
      </fill>
    </dxf>
    <dxf>
      <font>
        <name val="Arial"/>
        <charset val="1"/>
        <family val="0"/>
        <b val="1"/>
        <color rgb="FF16A34A"/>
        <sz val="11"/>
      </font>
      <fill>
        <patternFill patternType="solid">
          <bgColor rgb="FFDCFCE7"/>
        </patternFill>
      </fill>
    </dxf>
    <dxf>
      <font>
        <name val="Arial"/>
        <charset val="1"/>
        <family val="0"/>
        <b val="1"/>
        <color rgb="FFDC2626"/>
        <sz val="11"/>
      </font>
      <fill>
        <patternFill patternType="solid">
          <bgColor rgb="FFFEE2E2"/>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rgb="FFDCFCE7"/>
          <bgColor rgb="FFDCFCE7"/>
        </patternFill>
      </fill>
    </dxf>
    <dxf>
      <fill>
        <patternFill patternType="solid">
          <fgColor rgb="FFFEF3C7"/>
          <bgColor rgb="FFFEF3C7"/>
        </patternFill>
      </fill>
    </dxf>
    <dxf>
      <fill>
        <patternFill patternType="solid">
          <fgColor rgb="FFFEE2E2"/>
          <bgColor rgb="FFFEE2E2"/>
        </patternFill>
      </fill>
    </dxf>
  </dxfs>
  <tableStyles count="2" defaultTableStyle="TableStylePreset3_Accent1" defaultPivotStyle="PivotStylePreset2_Accent1">
    <tableStyle name="TableStylePreset3_Accent1" pivot="0" count="7">
      <tableStyleElement type="wholeTable" dxfId="14"/>
      <tableStyleElement type="headerRow" dxfId="13"/>
      <tableStyleElement type="totalRow" dxfId="12"/>
      <tableStyleElement type="firstColumn" dxfId="11"/>
      <tableStyleElement type="lastColumn" dxfId="10"/>
      <tableStyleElement type="firstRowStripe" dxfId="9"/>
      <tableStyleElement type="firstColumnStripe" dxfId="8"/>
    </tableStyle>
    <tableStyle name="PivotStylePreset2_Accent1" table="0" count="10">
      <tableStyleElement type="headerRow" dxfId="24"/>
      <tableStyleElement type="totalRow" dxfId="23"/>
      <tableStyleElement type="firstRowStripe" dxfId="22"/>
      <tableStyleElement type="firstColumnStripe" dxfId="21"/>
      <tableStyleElement type="firstSubtotalRow" dxfId="20"/>
      <tableStyleElement type="secondSubtotalRow" dxfId="19"/>
      <tableStyleElement type="firstRowSubheading" dxfId="18"/>
      <tableStyleElement type="secondRowSubheading" dxfId="17"/>
      <tableStyleElement type="pageFieldLabels" dxfId="16"/>
      <tableStyleElement type="pageFieldValues" dxfId="15"/>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EF3C7"/>
      <rgbColor rgb="00DCFCE7"/>
      <rgbColor rgb="00660066"/>
      <rgbColor rgb="00FF8080"/>
      <rgbColor rgb="000066CC"/>
      <rgbColor rgb="00CBD5E1"/>
      <rgbColor rgb="00000080"/>
      <rgbColor rgb="00FF00FF"/>
      <rgbColor rgb="00FFFF00"/>
      <rgbColor rgb="0000FFFF"/>
      <rgbColor rgb="00800080"/>
      <rgbColor rgb="00800000"/>
      <rgbColor rgb="00008080"/>
      <rgbColor rgb="000000FF"/>
      <rgbColor rgb="0000CCFF"/>
      <rgbColor rgb="00F1F5F9"/>
      <rgbColor rgb="00CCFFCC"/>
      <rgbColor rgb="00FFFF99"/>
      <rgbColor rgb="0099CCFF"/>
      <rgbColor rgb="00FF99CC"/>
      <rgbColor rgb="00CC99FF"/>
      <rgbColor rgb="00FEE2E2"/>
      <rgbColor rgb="003366FF"/>
      <rgbColor rgb="0033CCCC"/>
      <rgbColor rgb="0099CC00"/>
      <rgbColor rgb="00FFCC00"/>
      <rgbColor rgb="00FF9900"/>
      <rgbColor rgb="00D97706"/>
      <rgbColor rgb="0064748B"/>
      <rgbColor rgb="0094A3B8"/>
      <rgbColor rgb="000F3460"/>
      <rgbColor rgb="0016A34A"/>
      <rgbColor rgb="00003300"/>
      <rgbColor rgb="00333300"/>
      <rgbColor rgb="00993300"/>
      <rgbColor rgb="00993366"/>
      <rgbColor rgb="00333399"/>
      <rgbColor rgb="001A1A2E"/>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B2:G41"/>
  <sheetViews>
    <sheetView tabSelected="1" zoomScale="85" zoomScaleNormal="85" workbookViewId="0">
      <pane ySplit="5" topLeftCell="A25" activePane="bottomLeft" state="frozen"/>
      <selection activeCell="A1" sqref="A1"/>
      <selection pane="bottomLeft" activeCell="C36" sqref="C36"/>
    </sheetView>
  </sheetViews>
  <sheetFormatPr baseColWidth="8" defaultColWidth="8.675925925925929" defaultRowHeight="14.4"/>
  <cols>
    <col width="3" customWidth="1" min="1" max="1"/>
    <col width="38" customWidth="1" min="2" max="2"/>
    <col width="16" customWidth="1" min="3" max="5"/>
    <col width="14" customWidth="1" min="6" max="6"/>
    <col width="50" customWidth="1" min="7" max="7"/>
  </cols>
  <sheetData>
    <row r="2" ht="30" customHeight="1">
      <c r="B2" s="1" t="inlineStr">
        <is>
          <t>Tab 1 — ASSUMPTIONS  /  Giả định đầu vào</t>
        </is>
      </c>
    </row>
    <row r="3" ht="19.5" customHeight="1">
      <c r="B3" s="4" t="inlineStr">
        <is>
          <t>Luật chơi: chỉ điền vào các ô MÀU VÀNG. Các ô khác là công thức và sẽ tự tính.</t>
        </is>
      </c>
    </row>
    <row r="5">
      <c r="B5" s="10" t="inlineStr">
        <is>
          <t>1. Product &amp; Pricing  /  Sản phẩm &amp; Giá</t>
        </is>
      </c>
    </row>
    <row r="6">
      <c r="C6" s="33" t="inlineStr">
        <is>
          <t>Optimistic</t>
        </is>
      </c>
      <c r="D6" s="34" t="inlineStr">
        <is>
          <t>Base</t>
        </is>
      </c>
      <c r="E6" s="35" t="inlineStr">
        <is>
          <t>Pessimistic</t>
        </is>
      </c>
      <c r="F6" s="36" t="inlineStr">
        <is>
          <t>Đơn vị</t>
        </is>
      </c>
      <c r="G6" s="20" t="inlineStr">
        <is>
          <t>Ghi chú / Note</t>
        </is>
      </c>
    </row>
    <row r="7">
      <c r="B7" s="14" t="inlineStr">
        <is>
          <t>ARPU — Giá bán bình quân/khách/tháng</t>
        </is>
      </c>
      <c r="C7" s="55" t="n">
        <v>1900000</v>
      </c>
      <c r="D7" s="55" t="n">
        <v>1600000</v>
      </c>
      <c r="E7" s="55" t="n">
        <v>1300000</v>
      </c>
      <c r="F7" s="38" t="inlineStr">
        <is>
          <t>VND</t>
        </is>
      </c>
      <c r="G7" s="4" t="inlineStr">
        <is>
          <t>Pricing cao hơn → khó bán hơn nhưng margin tốt hơn</t>
        </is>
      </c>
    </row>
    <row r="8">
      <c r="B8" s="14" t="inlineStr">
        <is>
          <t>Adoption rate — % TAM chuyển thành khách/tháng</t>
        </is>
      </c>
      <c r="C8" s="56" t="n">
        <v>0.0035</v>
      </c>
      <c r="D8" s="56" t="n">
        <v>0.003</v>
      </c>
      <c r="E8" s="57" t="n">
        <v>0.0008</v>
      </c>
      <c r="F8" s="38" t="inlineStr">
        <is>
          <t>%/tháng</t>
        </is>
      </c>
      <c r="G8" s="4" t="inlineStr">
        <is>
          <t>% TAM chuyển thành khách trả tiền mới mỗi tháng</t>
        </is>
      </c>
    </row>
    <row r="9">
      <c r="B9" s="14" t="inlineStr">
        <is>
          <t>Total addressable market (số khách tiềm năng)</t>
        </is>
      </c>
      <c r="C9" s="55" t="n">
        <v>35000</v>
      </c>
      <c r="D9" s="55" t="n">
        <v>27000</v>
      </c>
      <c r="E9" s="55" t="n">
        <v>20000</v>
      </c>
      <c r="F9" s="38" t="inlineStr">
        <is>
          <t>khách</t>
        </is>
      </c>
      <c r="G9" s="4" t="inlineStr">
        <is>
          <t>Tổng số khách hàng tiềm năng có thể tiếp cận được</t>
        </is>
      </c>
    </row>
    <row r="11">
      <c r="B11" s="10" t="inlineStr">
        <is>
          <t>2. COGS  /  Chi phí biến đổi trên mỗi khách hàng</t>
        </is>
      </c>
    </row>
    <row r="12">
      <c r="B12" s="14" t="inlineStr">
        <is>
          <t>API cost / khách / tháng</t>
        </is>
      </c>
      <c r="C12" s="55" t="n">
        <v>290000</v>
      </c>
      <c r="D12" s="55" t="n">
        <v>320000</v>
      </c>
      <c r="E12" s="55" t="n">
        <v>380000</v>
      </c>
      <c r="F12" s="38" t="inlineStr">
        <is>
          <t>VND</t>
        </is>
      </c>
      <c r="G12" s="4" t="inlineStr">
        <is>
          <t>Tiền gọi OpenAI/Anthropic/Gemini API</t>
        </is>
      </c>
    </row>
    <row r="13">
      <c r="B13" s="14" t="inlineStr">
        <is>
          <t>Hidden costs (labeling, retraining, QA)</t>
        </is>
      </c>
      <c r="C13" s="55" t="n">
        <v>150000</v>
      </c>
      <c r="D13" s="55" t="n">
        <v>190000</v>
      </c>
      <c r="E13" s="55" t="n">
        <v>240000</v>
      </c>
      <c r="F13" s="38" t="inlineStr">
        <is>
          <t>VND</t>
        </is>
      </c>
      <c r="G13" s="4" t="inlineStr">
        <is>
          <t>Đừng quên! Đây là cục giết startup AI</t>
        </is>
      </c>
    </row>
    <row r="14" ht="17.55" customHeight="1">
      <c r="B14" s="14" t="inlineStr">
        <is>
          <t>Infrastructure (server/cloud) / khách</t>
        </is>
      </c>
      <c r="C14" s="55" t="n">
        <v>120000</v>
      </c>
      <c r="D14" s="55" t="n">
        <v>130000</v>
      </c>
      <c r="E14" s="55" t="n">
        <v>150000</v>
      </c>
      <c r="F14" s="38" t="inlineStr">
        <is>
          <t>VND</t>
        </is>
      </c>
      <c r="G14" s="4" t="inlineStr">
        <is>
          <t>Phần allocate cloud cost cho mỗi khách</t>
        </is>
      </c>
    </row>
    <row r="15">
      <c r="B15" s="49" t="inlineStr">
        <is>
          <t>→ Tổng COGS / khách / tháng</t>
        </is>
      </c>
      <c r="C15" s="58">
        <f>C12+C13+C14</f>
        <v/>
      </c>
      <c r="D15" s="58">
        <f>D12+D13+D14</f>
        <v/>
      </c>
      <c r="E15" s="58">
        <f>E12+E13+E14</f>
        <v/>
      </c>
      <c r="F15" s="51" t="n"/>
    </row>
    <row r="17">
      <c r="B17" s="10" t="inlineStr">
        <is>
          <t>3. Customer Behavior  /  Hành vi khách hàng</t>
        </is>
      </c>
    </row>
    <row r="18">
      <c r="B18" s="14" t="inlineStr">
        <is>
          <t>Monthly Churn Rate — % khách rời mỗi tháng</t>
        </is>
      </c>
      <c r="C18" s="57" t="n">
        <v>0.02</v>
      </c>
      <c r="D18" s="57" t="n">
        <v>0.03</v>
      </c>
      <c r="E18" s="57" t="n">
        <v>0.045</v>
      </c>
      <c r="F18" s="38" t="inlineStr">
        <is>
          <t>%</t>
        </is>
      </c>
      <c r="G18" s="4" t="inlineStr">
        <is>
          <t>Benchmark AI product &lt; 5%/tháng</t>
        </is>
      </c>
    </row>
    <row r="19">
      <c r="B19" s="22" t="inlineStr">
        <is>
          <t>→ Số tháng ở lại trung bình</t>
        </is>
      </c>
      <c r="C19" s="59">
        <f>IFERROR(1/C18,0)</f>
        <v/>
      </c>
      <c r="D19" s="59">
        <f>IFERROR(1/D18,0)</f>
        <v/>
      </c>
      <c r="E19" s="59">
        <f>IFERROR(1/E18,0)</f>
        <v/>
      </c>
      <c r="F19" s="40" t="n"/>
    </row>
    <row r="21">
      <c r="B21" s="10" t="inlineStr">
        <is>
          <t>4. Sales &amp; Marketing  /  Chi phí thu hút khách</t>
        </is>
      </c>
    </row>
    <row r="22">
      <c r="B22" s="14" t="inlineStr">
        <is>
          <t>CAC — Tổng chi phí có 1 khách hàng mới</t>
        </is>
      </c>
      <c r="C22" s="55" t="n">
        <v>5000000</v>
      </c>
      <c r="D22" s="55" t="n">
        <v>6000000</v>
      </c>
      <c r="E22" s="55" t="n">
        <v>9000000</v>
      </c>
      <c r="F22" s="38" t="inlineStr">
        <is>
          <t>VND</t>
        </is>
      </c>
      <c r="G22" s="4" t="inlineStr">
        <is>
          <t>Tổng tiền Marketing &amp; Sales / Số khách mới</t>
        </is>
      </c>
    </row>
    <row r="24">
      <c r="B24" s="10" t="inlineStr">
        <is>
          <t>5. Fixed Costs  /  Chi phí cố định hàng tháng</t>
        </is>
      </c>
    </row>
    <row r="25">
      <c r="B25" s="14" t="inlineStr">
        <is>
          <t>Salaries — Lương team (PM/Dev/Designer)</t>
        </is>
      </c>
      <c r="C25" s="55" t="n">
        <v>180000000</v>
      </c>
      <c r="D25" s="55" t="n">
        <v>130000000</v>
      </c>
      <c r="E25" s="55" t="n">
        <v>110000000</v>
      </c>
      <c r="F25" s="38" t="inlineStr">
        <is>
          <t>VND/tháng</t>
        </is>
      </c>
      <c r="G25" s="4" t="inlineStr">
        <is>
          <t>Pessimistic = phải hire thêm nếu khó scale</t>
        </is>
      </c>
    </row>
    <row r="26">
      <c r="B26" s="14" t="inlineStr">
        <is>
          <t>Office, tools, admin</t>
        </is>
      </c>
      <c r="C26" s="55" t="n">
        <v>30000000</v>
      </c>
      <c r="D26" s="55" t="n">
        <v>25000000</v>
      </c>
      <c r="E26" s="55" t="n">
        <v>20000000</v>
      </c>
      <c r="F26" s="38" t="inlineStr">
        <is>
          <t>VND/tháng</t>
        </is>
      </c>
    </row>
    <row r="27">
      <c r="B27" s="14" t="inlineStr">
        <is>
          <t>Marketing budget hàng tháng</t>
        </is>
      </c>
      <c r="C27" s="55" t="n">
        <v>30000000</v>
      </c>
      <c r="D27" s="55" t="n">
        <v>15000000</v>
      </c>
      <c r="E27" s="55" t="n">
        <v>3000000</v>
      </c>
      <c r="F27" s="38" t="inlineStr">
        <is>
          <t>VND/tháng</t>
        </is>
      </c>
    </row>
    <row r="28">
      <c r="B28" s="22" t="inlineStr">
        <is>
          <t>→ Tổng Fixed Cost / tháng</t>
        </is>
      </c>
      <c r="C28" s="60">
        <f>SUM(C25:C27)</f>
        <v/>
      </c>
      <c r="D28" s="60">
        <f>SUM(D25:D27)</f>
        <v/>
      </c>
      <c r="E28" s="60">
        <f>SUM(E25:E27)</f>
        <v/>
      </c>
      <c r="F28" s="40" t="n"/>
    </row>
    <row r="30">
      <c r="B30" s="10" t="inlineStr">
        <is>
          <t>6. Initial Investment  /  Vốn đầu tư ban đầu</t>
        </is>
      </c>
    </row>
    <row r="31">
      <c r="B31" s="14" t="inlineStr">
        <is>
          <t>Vốn đầu tư ban đầu (build MVP, setup)</t>
        </is>
      </c>
      <c r="C31" s="55" t="n">
        <v>800000000</v>
      </c>
      <c r="D31" s="55" t="n">
        <v>800000000</v>
      </c>
      <c r="E31" s="55" t="n">
        <v>800000000</v>
      </c>
      <c r="F31" s="38" t="inlineStr">
        <is>
          <t>VND</t>
        </is>
      </c>
      <c r="G31" s="4" t="inlineStr">
        <is>
          <t>Chi phí 1 lần — lương team build MVP, infrastructure setup</t>
        </is>
      </c>
    </row>
    <row r="32">
      <c r="B32" s="14" t="inlineStr">
        <is>
          <t>Tiền mặt ban đầu (sau khi đã trừ vốn đầu tư)</t>
        </is>
      </c>
      <c r="C32" s="55" t="n">
        <v>4000000000</v>
      </c>
      <c r="D32" s="55" t="n">
        <v>4000000000</v>
      </c>
      <c r="E32" s="55" t="n">
        <v>4000000000</v>
      </c>
      <c r="F32" s="38" t="inlineStr">
        <is>
          <t>VND</t>
        </is>
      </c>
      <c r="G32" s="4" t="inlineStr">
        <is>
          <t>Số tiền có sẵn để chi trả fixed cost trong giai đoạn đầu</t>
        </is>
      </c>
    </row>
    <row r="34">
      <c r="B34" s="10" t="inlineStr">
        <is>
          <t>7. Discount Rate  /  Tỷ suất chiết khấu (cho NPV)</t>
        </is>
      </c>
    </row>
    <row r="35">
      <c r="B35" s="14" t="inlineStr">
        <is>
          <t>Annual discount rate (WACC)</t>
        </is>
      </c>
      <c r="C35" s="57" t="n">
        <v>0.2</v>
      </c>
      <c r="D35" s="57" t="n">
        <v>0.2</v>
      </c>
      <c r="E35" s="57" t="n">
        <v>0.2</v>
      </c>
      <c r="F35" s="38" t="inlineStr">
        <is>
          <t>%/năm</t>
        </is>
      </c>
      <c r="G35" s="4" t="inlineStr">
        <is>
          <t>Mức kỳ vọng tối thiểu của nhà đầu tư cho dự án AI rủi ro</t>
        </is>
      </c>
    </row>
    <row r="36">
      <c r="B36" s="22" t="inlineStr">
        <is>
          <t>→ Monthly discount rate</t>
        </is>
      </c>
      <c r="C36" s="61">
        <f>(1+C35)^(1/12)-1</f>
        <v/>
      </c>
      <c r="D36" s="61">
        <f>(1+D35)^(1/12)-1</f>
        <v/>
      </c>
      <c r="E36" s="61">
        <f>(1+E35)^(1/12)-1</f>
        <v/>
      </c>
      <c r="F36" s="40" t="n"/>
    </row>
    <row r="38">
      <c r="B38" s="10" t="inlineStr">
        <is>
          <t>8. Decision Note  /  Ghi chú quyết định</t>
        </is>
      </c>
    </row>
    <row r="39" ht="95" customHeight="1">
      <c r="B39" s="52" t="inlineStr">
        <is>
          <t>AttendAI đặt ARPU 1.600.000 VNĐ/khách/tháng theo mô hình Hybrid: 590.000 phí nền tảng cộng 18.000/nhân viên. Với khách trung bình 55 lao động, mức này cao hơn ~15% so với ACheckin gói Starter (25.000 VNĐ/nhân viên/tháng) — phần chênh đổi lấy lớp AI nhận diện khuôn mặt chống chấm công hộ mà gói phổ thông không có. CAC 6.000.000 VNĐ tương đương 3,75 tháng doanh thu, đã tính đủ lương inside-sales, quảng cáo, demo và onboarding, không chỉ riêng tiền ads.
Về AI Hidden Costs, chúng tôi dự trù 190.000 VNĐ/khách/tháng, bằng 59% chi phí API (320.000): data labeling cho ~5% lượt nhận diện bị nghi ngờ (55.000), retrain model 20%/năm phân bổ đầu khách (45.000), Human-in-the-loop QA duyệt ca bất thường ~1,2 giờ/khách/tháng (65.000), và compliance dữ liệu sinh trắc học theo Nghị định 13/2023 (25.000). Vì vậy Gross Margin chỉ 60% — đúng khoảng 40-60% của sản phẩm AI, không phải 80% kiểu SaaS truyền thống.
Kết quả Base: LTV/CAC 5,33 và CAC Payback 6,25 tháng, vượt tiêu chuẩn VC. Tỷ số này không đến từ việc bóp CAC xuống thấp mà từ vòng đời khách 33 tháng — hệ quả của switching cost cao: đổi phần mềm chấm công đồng nghĩa di chuyển toàn bộ dữ liệu công và làm lại tích hợp bảng lương. NPV 927 triệu, IRR 43,6%, hoàn vốn dự án tháng 21.
Rủi ro lớn nhất là tiền mặt chạm đáy 529 triệu ở tháng 9, chỉ bằng 3 tháng chi phí cố định. Trong kịch bản Pessimistic với Churn 4,5% và CAC 9 triệu (đều gấp 1,5 lần Base), Runway vẫn đạt 14 tháng nhờ ba hành động đã định lượng: dừng acquisition trả phí (81 xuống 16 khách mới/tháng), đóng băng tuyển dụng, cắt ngân sách brand.</t>
        </is>
      </c>
      <c r="C39" s="53" t="n"/>
      <c r="D39" s="53" t="n"/>
      <c r="E39" s="53" t="n"/>
      <c r="F39" s="53" t="n"/>
    </row>
    <row r="40" ht="95" customHeight="1">
      <c r="B40" s="54" t="n"/>
    </row>
    <row r="41" ht="95" customHeight="1">
      <c r="B41" s="54" t="n"/>
    </row>
  </sheetData>
  <mergeCells count="11">
    <mergeCell ref="B3:G3"/>
    <mergeCell ref="B21:F21"/>
    <mergeCell ref="B30:F30"/>
    <mergeCell ref="B24:F24"/>
    <mergeCell ref="B2:F2"/>
    <mergeCell ref="B34:F34"/>
    <mergeCell ref="B38:F38"/>
    <mergeCell ref="B11:F11"/>
    <mergeCell ref="B17:F17"/>
    <mergeCell ref="B5:F5"/>
    <mergeCell ref="B39:F4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G25"/>
  <sheetViews>
    <sheetView zoomScale="147" zoomScaleNormal="147" workbookViewId="0">
      <pane ySplit="5" topLeftCell="A6" activePane="bottomLeft" state="frozen"/>
      <selection activeCell="A1" sqref="A1"/>
      <selection pane="bottomLeft" activeCell="E21" sqref="E21"/>
    </sheetView>
  </sheetViews>
  <sheetFormatPr baseColWidth="8" defaultColWidth="8.675925925925929" defaultRowHeight="14.4"/>
  <cols>
    <col width="3" customWidth="1" min="1" max="1"/>
    <col width="38" customWidth="1" min="2" max="2"/>
    <col width="16" customWidth="1" min="3" max="5"/>
    <col width="14" customWidth="1" min="6" max="6"/>
    <col width="50" customWidth="1" min="7" max="7"/>
  </cols>
  <sheetData>
    <row r="2" ht="30" customHeight="1">
      <c r="B2" s="1" t="inlineStr">
        <is>
          <t>Tab 2 — UNIT ECONOMICS  /  Kinh tế đơn vị</t>
        </is>
      </c>
    </row>
    <row r="3" ht="19.5" customHeight="1">
      <c r="B3" s="4" t="inlineStr">
        <is>
          <t>Tự động tính từ Tab 1. Kiểm tra: LTV/CAC &gt; 3 (Base) và CAC Payback &lt; 12 tháng.</t>
        </is>
      </c>
    </row>
    <row r="5">
      <c r="B5" s="20" t="inlineStr">
        <is>
          <t>Chỉ số</t>
        </is>
      </c>
      <c r="C5" s="33" t="inlineStr">
        <is>
          <t>Optimistic</t>
        </is>
      </c>
      <c r="D5" s="34" t="inlineStr">
        <is>
          <t>Base</t>
        </is>
      </c>
      <c r="E5" s="35" t="inlineStr">
        <is>
          <t>Pessimistic</t>
        </is>
      </c>
      <c r="F5" s="36" t="inlineStr">
        <is>
          <t>Đơn vị</t>
        </is>
      </c>
      <c r="G5" s="20" t="inlineStr">
        <is>
          <t>Benchmark / Note</t>
        </is>
      </c>
    </row>
    <row r="7">
      <c r="B7" s="10" t="inlineStr">
        <is>
          <t>Trên mỗi khách hàng / per customer</t>
        </is>
      </c>
    </row>
    <row r="8">
      <c r="B8" s="14" t="inlineStr">
        <is>
          <t>ARPU / tháng</t>
        </is>
      </c>
      <c r="C8" s="62">
        <f>'1. Assumptions'!C7</f>
        <v/>
      </c>
      <c r="D8" s="62">
        <f>'1. Assumptions'!D7</f>
        <v/>
      </c>
      <c r="E8" s="62">
        <f>'1. Assumptions'!E7</f>
        <v/>
      </c>
      <c r="F8" s="38" t="inlineStr">
        <is>
          <t>VND</t>
        </is>
      </c>
      <c r="G8" s="4" t="inlineStr">
        <is>
          <t>Liên kết từ Tab Assumptions</t>
        </is>
      </c>
    </row>
    <row r="9">
      <c r="B9" s="14" t="inlineStr">
        <is>
          <t>COGS / tháng</t>
        </is>
      </c>
      <c r="C9" s="62">
        <f>'1. Assumptions'!C15</f>
        <v/>
      </c>
      <c r="D9" s="62">
        <f>'1. Assumptions'!D15</f>
        <v/>
      </c>
      <c r="E9" s="62">
        <f>'1. Assumptions'!E15</f>
        <v/>
      </c>
      <c r="F9" s="38" t="inlineStr">
        <is>
          <t>VND</t>
        </is>
      </c>
    </row>
    <row r="10">
      <c r="B10" s="22" t="inlineStr">
        <is>
          <t>→ Gross Profit / tháng</t>
        </is>
      </c>
      <c r="C10" s="60">
        <f>C8-C9</f>
        <v/>
      </c>
      <c r="D10" s="60">
        <f>D8-D9</f>
        <v/>
      </c>
      <c r="E10" s="60">
        <f>E8-E9</f>
        <v/>
      </c>
      <c r="F10" s="40" t="n"/>
    </row>
    <row r="11">
      <c r="B11" s="22" t="inlineStr">
        <is>
          <t>→ Gross Margin %</t>
        </is>
      </c>
      <c r="C11" s="61">
        <f>IFERROR(C10/C8,0)</f>
        <v/>
      </c>
      <c r="D11" s="61">
        <f>IFERROR(D10/D8,0)</f>
        <v/>
      </c>
      <c r="E11" s="61">
        <f>IFERROR(E10/E8,0)</f>
        <v/>
      </c>
      <c r="F11" s="40" t="n"/>
      <c r="G11" s="4" t="inlineStr">
        <is>
          <t>AI product target: 40-60%. SaaS truyền thống: 80%+</t>
        </is>
      </c>
    </row>
    <row r="13">
      <c r="B13" s="10" t="inlineStr">
        <is>
          <t>LTV — Customer Lifetime Value</t>
        </is>
      </c>
    </row>
    <row r="14">
      <c r="B14" s="14" t="inlineStr">
        <is>
          <t>Số tháng ở lại trung bình</t>
        </is>
      </c>
      <c r="C14" s="63">
        <f>'1. Assumptions'!C19</f>
        <v/>
      </c>
      <c r="D14" s="63">
        <f>'1. Assumptions'!D19</f>
        <v/>
      </c>
      <c r="E14" s="63">
        <f>'1. Assumptions'!E19</f>
        <v/>
      </c>
      <c r="F14" s="38" t="inlineStr">
        <is>
          <t>tháng</t>
        </is>
      </c>
    </row>
    <row r="15">
      <c r="B15" s="22" t="inlineStr">
        <is>
          <t>→ LTV = Gross Profit × Số tháng ở lại</t>
        </is>
      </c>
      <c r="C15" s="60">
        <f>C10*C14</f>
        <v/>
      </c>
      <c r="D15" s="60">
        <f>D10*D14</f>
        <v/>
      </c>
      <c r="E15" s="60">
        <f>E10*E14</f>
        <v/>
      </c>
      <c r="F15" s="40" t="n"/>
      <c r="G15" s="4" t="inlineStr">
        <is>
          <t>Tổng lợi nhuận gộp một khách mang lại trong vòng đời</t>
        </is>
      </c>
    </row>
    <row r="17">
      <c r="B17" s="10" t="inlineStr">
        <is>
          <t>CAC — Customer Acquisition Cost</t>
        </is>
      </c>
    </row>
    <row r="18">
      <c r="B18" s="14" t="inlineStr">
        <is>
          <t>CAC — Chi phí thu hút 1 khách</t>
        </is>
      </c>
      <c r="C18" s="62">
        <f>'1. Assumptions'!C22</f>
        <v/>
      </c>
      <c r="D18" s="62">
        <f>'1. Assumptions'!D22</f>
        <v/>
      </c>
      <c r="E18" s="62">
        <f>'1. Assumptions'!E22</f>
        <v/>
      </c>
      <c r="F18" s="38" t="inlineStr">
        <is>
          <t>VND</t>
        </is>
      </c>
    </row>
    <row r="20">
      <c r="B20" s="10" t="inlineStr">
        <is>
          <t>Key Ratios  /  Tỷ lệ then chốt</t>
        </is>
      </c>
    </row>
    <row r="21">
      <c r="B21" s="22" t="inlineStr">
        <is>
          <t>→ LTV / CAC Ratio</t>
        </is>
      </c>
      <c r="C21" s="64">
        <f>IFERROR(C15/C18,0)</f>
        <v/>
      </c>
      <c r="D21" s="64">
        <f>IFERROR(D15/D18,0)</f>
        <v/>
      </c>
      <c r="E21" s="64">
        <f>IFERROR(E15/E18,0)</f>
        <v/>
      </c>
      <c r="F21" s="40" t="n"/>
      <c r="G21" s="4" t="inlineStr">
        <is>
          <t>🎯 Target &gt; 3.0x (tiêu chuẩn vàng VC)</t>
        </is>
      </c>
    </row>
    <row r="22">
      <c r="B22" s="22" t="inlineStr">
        <is>
          <t>→ CAC Payback Period</t>
        </is>
      </c>
      <c r="C22" s="59">
        <f>IFERROR(C18/C10,0)</f>
        <v/>
      </c>
      <c r="D22" s="59">
        <f>IFERROR(D18/D10,0)</f>
        <v/>
      </c>
      <c r="E22" s="59">
        <f>IFERROR(E18/E10,0)</f>
        <v/>
      </c>
      <c r="F22" s="40" t="n"/>
      <c r="G22" s="4" t="inlineStr">
        <is>
          <t>🎯 Target &lt; 12 tháng (early-stage)</t>
        </is>
      </c>
    </row>
    <row r="24">
      <c r="B24" s="10" t="inlineStr">
        <is>
          <t>Verdict  /  Kết luận</t>
        </is>
      </c>
    </row>
    <row r="25">
      <c r="B25" s="20" t="inlineStr">
        <is>
          <t>Unit Economics Status</t>
        </is>
      </c>
      <c r="C25" s="45">
        <f>IF(AND(C21&gt;=3,C22&lt;=12),"✓ HEALTHY",IF(OR(C21&lt;1,C22&gt;18),"✗ UNHEALTHY","⚠ WATCH"))</f>
        <v/>
      </c>
      <c r="D25" s="45">
        <f>IF(AND(D21&gt;=3,D22&lt;=12),"✓ HEALTHY",IF(OR(D21&lt;1,D22&gt;18),"✗ UNHEALTHY","⚠ WATCH"))</f>
        <v/>
      </c>
      <c r="E25" s="45">
        <f>IF(AND(E21&gt;=3,E22&lt;=12),"✓ HEALTHY",IF(OR(E21&lt;1,E22&gt;18),"✗ UNHEALTHY","⚠ WATCH"))</f>
        <v/>
      </c>
    </row>
  </sheetData>
  <mergeCells count="7">
    <mergeCell ref="B3:G3"/>
    <mergeCell ref="B7:F7"/>
    <mergeCell ref="B24:F24"/>
    <mergeCell ref="B2:F2"/>
    <mergeCell ref="B20:F20"/>
    <mergeCell ref="B17:F17"/>
    <mergeCell ref="B13:F13"/>
  </mergeCells>
  <conditionalFormatting sqref="C21">
    <cfRule type="cellIs" priority="2" operator="lessThan" dxfId="0">
      <formula>1</formula>
    </cfRule>
    <cfRule type="cellIs" priority="3" operator="between" dxfId="1">
      <formula>1</formula>
      <formula>3</formula>
    </cfRule>
    <cfRule type="cellIs" priority="4" operator="greaterThanOrEqual" dxfId="2">
      <formula>3</formula>
    </cfRule>
  </conditionalFormatting>
  <conditionalFormatting sqref="D21">
    <cfRule type="cellIs" priority="5" operator="lessThan" dxfId="0">
      <formula>1</formula>
    </cfRule>
    <cfRule type="cellIs" priority="6" operator="between" dxfId="1">
      <formula>1</formula>
      <formula>3</formula>
    </cfRule>
    <cfRule type="cellIs" priority="7" operator="greaterThanOrEqual" dxfId="2">
      <formula>3</formula>
    </cfRule>
  </conditionalFormatting>
  <conditionalFormatting sqref="E21">
    <cfRule type="cellIs" priority="8" operator="lessThan" dxfId="0">
      <formula>1</formula>
    </cfRule>
    <cfRule type="cellIs" priority="9" operator="between" dxfId="1">
      <formula>1</formula>
      <formula>3</formula>
    </cfRule>
    <cfRule type="cellIs" priority="10" operator="greaterThanOrEqual" dxfId="2">
      <formula>3</formula>
    </cfRule>
  </conditionalFormatting>
  <conditionalFormatting sqref="C22">
    <cfRule type="cellIs" priority="11" operator="greaterThan" dxfId="0">
      <formula>18</formula>
    </cfRule>
    <cfRule type="cellIs" priority="12" operator="between" dxfId="1">
      <formula>12</formula>
      <formula>18</formula>
    </cfRule>
    <cfRule type="cellIs" priority="13" operator="lessThanOrEqual" dxfId="2">
      <formula>12</formula>
    </cfRule>
  </conditionalFormatting>
  <conditionalFormatting sqref="D22">
    <cfRule type="cellIs" priority="14" operator="greaterThan" dxfId="0">
      <formula>18</formula>
    </cfRule>
    <cfRule type="cellIs" priority="15" operator="between" dxfId="1">
      <formula>12</formula>
      <formula>18</formula>
    </cfRule>
    <cfRule type="cellIs" priority="16" operator="lessThanOrEqual" dxfId="2">
      <formula>12</formula>
    </cfRule>
  </conditionalFormatting>
  <conditionalFormatting sqref="E22">
    <cfRule type="cellIs" priority="17" operator="greaterThan" dxfId="0">
      <formula>18</formula>
    </cfRule>
    <cfRule type="cellIs" priority="18" operator="between" dxfId="1">
      <formula>12</formula>
      <formula>18</formula>
    </cfRule>
    <cfRule type="cellIs" priority="19" operator="lessThanOrEqual" dxfId="2">
      <formula>12</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A44"/>
  <sheetViews>
    <sheetView zoomScale="173" zoomScaleNormal="173" workbookViewId="0">
      <pane xSplit="2" ySplit="21" topLeftCell="C26" activePane="bottomRight" state="frozen"/>
      <selection activeCell="A1" sqref="A1"/>
      <selection pane="topRight" activeCell="A1" sqref="A1"/>
      <selection pane="bottomLeft" activeCell="A1" sqref="A1"/>
      <selection pane="bottomRight" activeCell="C40" sqref="C40"/>
    </sheetView>
  </sheetViews>
  <sheetFormatPr baseColWidth="8" defaultColWidth="8.675925925925929" defaultRowHeight="14.4"/>
  <cols>
    <col width="3" customWidth="1" min="1" max="1"/>
    <col width="36" customWidth="1" min="2" max="2"/>
    <col width="13" customWidth="1" min="3" max="26"/>
    <col width="16" customWidth="1" min="27" max="27"/>
  </cols>
  <sheetData>
    <row r="2" hidden="1" ht="30" customHeight="1">
      <c r="B2" s="1" t="inlineStr">
        <is>
          <t>Tab 3 — P&amp;L &amp; ROI  /  24 tháng</t>
        </is>
      </c>
    </row>
    <row r="3" hidden="1"/>
    <row r="4" hidden="1" ht="15" customHeight="1">
      <c r="B4" s="2" t="inlineStr">
        <is>
          <t>Chọn scenario:</t>
        </is>
      </c>
      <c r="C4" s="3" t="inlineStr">
        <is>
          <t>Base</t>
        </is>
      </c>
      <c r="D4" s="4" t="inlineStr">
        <is>
          <t>Đổi scenario tại đây để toàn bộ P&amp;L tự cập nhật</t>
        </is>
      </c>
    </row>
    <row r="5" hidden="1"/>
    <row r="6" hidden="1">
      <c r="B6" s="5" t="inlineStr">
        <is>
          <t>Active scenario index:</t>
        </is>
      </c>
      <c r="C6" s="5">
        <f>MATCH(C4,{"Optimistic","Base","Pessimistic"},0)</f>
        <v/>
      </c>
    </row>
    <row r="7" hidden="1">
      <c r="B7" s="6" t="inlineStr">
        <is>
          <t>Selected scenario inputs ↓</t>
        </is>
      </c>
    </row>
    <row r="8" hidden="1">
      <c r="B8" s="7" t="inlineStr">
        <is>
          <t>ARPU / khách / tháng</t>
        </is>
      </c>
      <c r="C8" s="65">
        <f>CHOOSE($C$6,'1. Assumptions'!C7,'1. Assumptions'!D7,'1. Assumptions'!E7)</f>
        <v/>
      </c>
    </row>
    <row r="9" hidden="1">
      <c r="B9" s="7" t="inlineStr">
        <is>
          <t>Adoption rate</t>
        </is>
      </c>
      <c r="C9" s="66">
        <f>CHOOSE($C$6,'1. Assumptions'!C8,'1. Assumptions'!D8,'1. Assumptions'!E8)</f>
        <v/>
      </c>
    </row>
    <row r="10" hidden="1">
      <c r="B10" s="7" t="inlineStr">
        <is>
          <t>TAM (số khách tiềm năng)</t>
        </is>
      </c>
      <c r="C10" s="65">
        <f>CHOOSE($C$6,'1. Assumptions'!C9,'1. Assumptions'!D9,'1. Assumptions'!E9)</f>
        <v/>
      </c>
    </row>
    <row r="11" hidden="1">
      <c r="B11" s="7" t="inlineStr">
        <is>
          <t>Total COGS / khách</t>
        </is>
      </c>
      <c r="C11" s="65">
        <f>CHOOSE($C$6,'1. Assumptions'!C15,'1. Assumptions'!D15,'1. Assumptions'!E15)</f>
        <v/>
      </c>
    </row>
    <row r="12" hidden="1">
      <c r="B12" s="7" t="inlineStr">
        <is>
          <t>Monthly Churn Rate</t>
        </is>
      </c>
      <c r="C12" s="66">
        <f>CHOOSE($C$6,'1. Assumptions'!C18,'1. Assumptions'!D18,'1. Assumptions'!E18)</f>
        <v/>
      </c>
    </row>
    <row r="13" hidden="1">
      <c r="B13" s="7" t="inlineStr">
        <is>
          <t>CAC / khách mới</t>
        </is>
      </c>
      <c r="C13" s="65">
        <f>CHOOSE($C$6,'1. Assumptions'!C22,'1. Assumptions'!D22,'1. Assumptions'!E22)</f>
        <v/>
      </c>
    </row>
    <row r="14" hidden="1">
      <c r="B14" s="7" t="inlineStr">
        <is>
          <t>Fixed Cost / tháng</t>
        </is>
      </c>
      <c r="C14" s="65">
        <f>CHOOSE($C$6,'1. Assumptions'!C28,'1. Assumptions'!D28,'1. Assumptions'!E28)</f>
        <v/>
      </c>
    </row>
    <row r="15" hidden="1">
      <c r="B15" s="7" t="inlineStr">
        <is>
          <t>Initial Investment</t>
        </is>
      </c>
      <c r="C15" s="65">
        <f>CHOOSE($C$6,'1. Assumptions'!C31,'1. Assumptions'!D31,'1. Assumptions'!E31)</f>
        <v/>
      </c>
    </row>
    <row r="16" hidden="1">
      <c r="B16" s="7" t="inlineStr">
        <is>
          <t>Initial Cash</t>
        </is>
      </c>
      <c r="C16" s="65">
        <f>CHOOSE($C$6,'1. Assumptions'!C32,'1. Assumptions'!D32,'1. Assumptions'!E32)</f>
        <v/>
      </c>
    </row>
    <row r="17" hidden="1">
      <c r="B17" s="7" t="inlineStr">
        <is>
          <t>Monthly Discount Rate</t>
        </is>
      </c>
      <c r="C17" s="66">
        <f>CHOOSE($C$6,'1. Assumptions'!C36,'1. Assumptions'!D36,'1. Assumptions'!E36)</f>
        <v/>
      </c>
    </row>
    <row r="20" ht="16" customHeight="1">
      <c r="B20" s="10" t="inlineStr">
        <is>
          <t>P&amp;L Projection — 24 months  (VND)</t>
        </is>
      </c>
    </row>
    <row r="21">
      <c r="B21" s="11" t="inlineStr">
        <is>
          <t>Month</t>
        </is>
      </c>
      <c r="C21" s="12" t="inlineStr">
        <is>
          <t>M1</t>
        </is>
      </c>
      <c r="D21" s="12" t="inlineStr">
        <is>
          <t>M2</t>
        </is>
      </c>
      <c r="E21" s="12" t="inlineStr">
        <is>
          <t>M3</t>
        </is>
      </c>
      <c r="F21" s="12" t="inlineStr">
        <is>
          <t>M4</t>
        </is>
      </c>
      <c r="G21" s="12" t="inlineStr">
        <is>
          <t>M5</t>
        </is>
      </c>
      <c r="H21" s="12" t="inlineStr">
        <is>
          <t>M6</t>
        </is>
      </c>
      <c r="I21" s="12" t="inlineStr">
        <is>
          <t>M7</t>
        </is>
      </c>
      <c r="J21" s="12" t="inlineStr">
        <is>
          <t>M8</t>
        </is>
      </c>
      <c r="K21" s="12" t="inlineStr">
        <is>
          <t>M9</t>
        </is>
      </c>
      <c r="L21" s="12" t="inlineStr">
        <is>
          <t>M10</t>
        </is>
      </c>
      <c r="M21" s="12" t="inlineStr">
        <is>
          <t>M11</t>
        </is>
      </c>
      <c r="N21" s="12" t="inlineStr">
        <is>
          <t>M12</t>
        </is>
      </c>
      <c r="O21" s="12" t="inlineStr">
        <is>
          <t>M13</t>
        </is>
      </c>
      <c r="P21" s="12" t="inlineStr">
        <is>
          <t>M14</t>
        </is>
      </c>
      <c r="Q21" s="12" t="inlineStr">
        <is>
          <t>M15</t>
        </is>
      </c>
      <c r="R21" s="12" t="inlineStr">
        <is>
          <t>M16</t>
        </is>
      </c>
      <c r="S21" s="12" t="inlineStr">
        <is>
          <t>M17</t>
        </is>
      </c>
      <c r="T21" s="12" t="inlineStr">
        <is>
          <t>M18</t>
        </is>
      </c>
      <c r="U21" s="12" t="inlineStr">
        <is>
          <t>M19</t>
        </is>
      </c>
      <c r="V21" s="12" t="inlineStr">
        <is>
          <t>M20</t>
        </is>
      </c>
      <c r="W21" s="12" t="inlineStr">
        <is>
          <t>M21</t>
        </is>
      </c>
      <c r="X21" s="12" t="inlineStr">
        <is>
          <t>M22</t>
        </is>
      </c>
      <c r="Y21" s="12" t="inlineStr">
        <is>
          <t>M23</t>
        </is>
      </c>
      <c r="Z21" s="12" t="inlineStr">
        <is>
          <t>M24</t>
        </is>
      </c>
      <c r="AA21" s="13" t="inlineStr">
        <is>
          <t>TOTAL</t>
        </is>
      </c>
    </row>
    <row r="22">
      <c r="B22" s="14" t="inlineStr">
        <is>
          <t>New customers acquired</t>
        </is>
      </c>
      <c r="C22" s="67">
        <f>ROUND($C$10*$C$9,0)</f>
        <v/>
      </c>
      <c r="D22" s="67">
        <f>ROUND($C$10*$C$9,0)</f>
        <v/>
      </c>
      <c r="E22" s="67">
        <f>ROUND($C$10*$C$9,0)</f>
        <v/>
      </c>
      <c r="F22" s="67">
        <f>ROUND($C$10*$C$9,0)</f>
        <v/>
      </c>
      <c r="G22" s="67">
        <f>ROUND($C$10*$C$9,0)</f>
        <v/>
      </c>
      <c r="H22" s="67">
        <f>ROUND($C$10*$C$9,0)</f>
        <v/>
      </c>
      <c r="I22" s="67">
        <f>ROUND($C$10*$C$9,0)</f>
        <v/>
      </c>
      <c r="J22" s="67">
        <f>ROUND($C$10*$C$9,0)</f>
        <v/>
      </c>
      <c r="K22" s="67">
        <f>ROUND($C$10*$C$9,0)</f>
        <v/>
      </c>
      <c r="L22" s="67">
        <f>ROUND($C$10*$C$9,0)</f>
        <v/>
      </c>
      <c r="M22" s="67">
        <f>ROUND($C$10*$C$9,0)</f>
        <v/>
      </c>
      <c r="N22" s="67">
        <f>ROUND($C$10*$C$9,0)</f>
        <v/>
      </c>
      <c r="O22" s="67">
        <f>ROUND($C$10*$C$9,0)</f>
        <v/>
      </c>
      <c r="P22" s="67">
        <f>ROUND($C$10*$C$9,0)</f>
        <v/>
      </c>
      <c r="Q22" s="67">
        <f>ROUND($C$10*$C$9,0)</f>
        <v/>
      </c>
      <c r="R22" s="67">
        <f>ROUND($C$10*$C$9,0)</f>
        <v/>
      </c>
      <c r="S22" s="67">
        <f>ROUND($C$10*$C$9,0)</f>
        <v/>
      </c>
      <c r="T22" s="67">
        <f>ROUND($C$10*$C$9,0)</f>
        <v/>
      </c>
      <c r="U22" s="67">
        <f>ROUND($C$10*$C$9,0)</f>
        <v/>
      </c>
      <c r="V22" s="67">
        <f>ROUND($C$10*$C$9,0)</f>
        <v/>
      </c>
      <c r="W22" s="67">
        <f>ROUND($C$10*$C$9,0)</f>
        <v/>
      </c>
      <c r="X22" s="67">
        <f>ROUND($C$10*$C$9,0)</f>
        <v/>
      </c>
      <c r="Y22" s="67">
        <f>ROUND($C$10*$C$9,0)</f>
        <v/>
      </c>
      <c r="Z22" s="67">
        <f>ROUND($C$10*$C$9,0)</f>
        <v/>
      </c>
      <c r="AA22" s="68">
        <f>SUM(C22:Z22)</f>
        <v/>
      </c>
    </row>
    <row r="23">
      <c r="B23" s="14" t="inlineStr">
        <is>
          <t>Active customers (end of month)</t>
        </is>
      </c>
      <c r="C23" s="67">
        <f>C22</f>
        <v/>
      </c>
      <c r="D23" s="67">
        <f>C23*(1-$C$12)+D22</f>
        <v/>
      </c>
      <c r="E23" s="67">
        <f>D23*(1-$C$12)+E22</f>
        <v/>
      </c>
      <c r="F23" s="67">
        <f>E23*(1-$C$12)+F22</f>
        <v/>
      </c>
      <c r="G23" s="67">
        <f>F23*(1-$C$12)+G22</f>
        <v/>
      </c>
      <c r="H23" s="67">
        <f>G23*(1-$C$12)+H22</f>
        <v/>
      </c>
      <c r="I23" s="67">
        <f>H23*(1-$C$12)+I22</f>
        <v/>
      </c>
      <c r="J23" s="67">
        <f>I23*(1-$C$12)+J22</f>
        <v/>
      </c>
      <c r="K23" s="67">
        <f>J23*(1-$C$12)+K22</f>
        <v/>
      </c>
      <c r="L23" s="67">
        <f>K23*(1-$C$12)+L22</f>
        <v/>
      </c>
      <c r="M23" s="67">
        <f>L23*(1-$C$12)+M22</f>
        <v/>
      </c>
      <c r="N23" s="67">
        <f>M23*(1-$C$12)+N22</f>
        <v/>
      </c>
      <c r="O23" s="67">
        <f>N23*(1-$C$12)+O22</f>
        <v/>
      </c>
      <c r="P23" s="67">
        <f>O23*(1-$C$12)+P22</f>
        <v/>
      </c>
      <c r="Q23" s="67">
        <f>P23*(1-$C$12)+Q22</f>
        <v/>
      </c>
      <c r="R23" s="67">
        <f>Q23*(1-$C$12)+R22</f>
        <v/>
      </c>
      <c r="S23" s="67">
        <f>R23*(1-$C$12)+S22</f>
        <v/>
      </c>
      <c r="T23" s="67">
        <f>S23*(1-$C$12)+T22</f>
        <v/>
      </c>
      <c r="U23" s="67">
        <f>T23*(1-$C$12)+U22</f>
        <v/>
      </c>
      <c r="V23" s="67">
        <f>U23*(1-$C$12)+V22</f>
        <v/>
      </c>
      <c r="W23" s="67">
        <f>V23*(1-$C$12)+W22</f>
        <v/>
      </c>
      <c r="X23" s="67">
        <f>W23*(1-$C$12)+X22</f>
        <v/>
      </c>
      <c r="Y23" s="67">
        <f>X23*(1-$C$12)+Y22</f>
        <v/>
      </c>
      <c r="Z23" s="67">
        <f>Y23*(1-$C$12)+Z22</f>
        <v/>
      </c>
    </row>
    <row r="25">
      <c r="B25" s="17" t="inlineStr">
        <is>
          <t>Revenue</t>
        </is>
      </c>
      <c r="C25" s="69">
        <f>C23*$C$8</f>
        <v/>
      </c>
      <c r="D25" s="69">
        <f>D23*$C$8</f>
        <v/>
      </c>
      <c r="E25" s="69">
        <f>E23*$C$8</f>
        <v/>
      </c>
      <c r="F25" s="69">
        <f>F23*$C$8</f>
        <v/>
      </c>
      <c r="G25" s="69">
        <f>G23*$C$8</f>
        <v/>
      </c>
      <c r="H25" s="69">
        <f>H23*$C$8</f>
        <v/>
      </c>
      <c r="I25" s="69">
        <f>I23*$C$8</f>
        <v/>
      </c>
      <c r="J25" s="69">
        <f>J23*$C$8</f>
        <v/>
      </c>
      <c r="K25" s="69">
        <f>K23*$C$8</f>
        <v/>
      </c>
      <c r="L25" s="69">
        <f>L23*$C$8</f>
        <v/>
      </c>
      <c r="M25" s="69">
        <f>M23*$C$8</f>
        <v/>
      </c>
      <c r="N25" s="69">
        <f>N23*$C$8</f>
        <v/>
      </c>
      <c r="O25" s="69">
        <f>O23*$C$8</f>
        <v/>
      </c>
      <c r="P25" s="69">
        <f>P23*$C$8</f>
        <v/>
      </c>
      <c r="Q25" s="69">
        <f>Q23*$C$8</f>
        <v/>
      </c>
      <c r="R25" s="69">
        <f>R23*$C$8</f>
        <v/>
      </c>
      <c r="S25" s="69">
        <f>S23*$C$8</f>
        <v/>
      </c>
      <c r="T25" s="69">
        <f>T23*$C$8</f>
        <v/>
      </c>
      <c r="U25" s="69">
        <f>U23*$C$8</f>
        <v/>
      </c>
      <c r="V25" s="69">
        <f>V23*$C$8</f>
        <v/>
      </c>
      <c r="W25" s="69">
        <f>W23*$C$8</f>
        <v/>
      </c>
      <c r="X25" s="69">
        <f>X23*$C$8</f>
        <v/>
      </c>
      <c r="Y25" s="69">
        <f>Y23*$C$8</f>
        <v/>
      </c>
      <c r="Z25" s="69">
        <f>Z23*$C$8</f>
        <v/>
      </c>
      <c r="AA25" s="70">
        <f>SUM(C25:Z25)</f>
        <v/>
      </c>
    </row>
    <row r="26">
      <c r="B26" s="14" t="inlineStr">
        <is>
          <t>COGS (variable cost)</t>
        </is>
      </c>
      <c r="C26" s="67">
        <f>C23*$C$11</f>
        <v/>
      </c>
      <c r="D26" s="67">
        <f>D23*$C$11</f>
        <v/>
      </c>
      <c r="E26" s="67">
        <f>E23*$C$11</f>
        <v/>
      </c>
      <c r="F26" s="67">
        <f>F23*$C$11</f>
        <v/>
      </c>
      <c r="G26" s="67">
        <f>G23*$C$11</f>
        <v/>
      </c>
      <c r="H26" s="67">
        <f>H23*$C$11</f>
        <v/>
      </c>
      <c r="I26" s="67">
        <f>I23*$C$11</f>
        <v/>
      </c>
      <c r="J26" s="67">
        <f>J23*$C$11</f>
        <v/>
      </c>
      <c r="K26" s="67">
        <f>K23*$C$11</f>
        <v/>
      </c>
      <c r="L26" s="67">
        <f>L23*$C$11</f>
        <v/>
      </c>
      <c r="M26" s="67">
        <f>M23*$C$11</f>
        <v/>
      </c>
      <c r="N26" s="67">
        <f>N23*$C$11</f>
        <v/>
      </c>
      <c r="O26" s="67">
        <f>O23*$C$11</f>
        <v/>
      </c>
      <c r="P26" s="67">
        <f>P23*$C$11</f>
        <v/>
      </c>
      <c r="Q26" s="67">
        <f>Q23*$C$11</f>
        <v/>
      </c>
      <c r="R26" s="67">
        <f>R23*$C$11</f>
        <v/>
      </c>
      <c r="S26" s="67">
        <f>S23*$C$11</f>
        <v/>
      </c>
      <c r="T26" s="67">
        <f>T23*$C$11</f>
        <v/>
      </c>
      <c r="U26" s="67">
        <f>U23*$C$11</f>
        <v/>
      </c>
      <c r="V26" s="67">
        <f>V23*$C$11</f>
        <v/>
      </c>
      <c r="W26" s="67">
        <f>W23*$C$11</f>
        <v/>
      </c>
      <c r="X26" s="67">
        <f>X23*$C$11</f>
        <v/>
      </c>
      <c r="Y26" s="67">
        <f>Y23*$C$11</f>
        <v/>
      </c>
      <c r="Z26" s="67">
        <f>Z23*$C$11</f>
        <v/>
      </c>
      <c r="AA26" s="68">
        <f>SUM(C26:Z26)</f>
        <v/>
      </c>
    </row>
    <row r="27">
      <c r="B27" s="20" t="inlineStr">
        <is>
          <t>Gross Profit</t>
        </is>
      </c>
      <c r="C27" s="71">
        <f>C25-C26</f>
        <v/>
      </c>
      <c r="D27" s="71">
        <f>D25-D26</f>
        <v/>
      </c>
      <c r="E27" s="71">
        <f>E25-E26</f>
        <v/>
      </c>
      <c r="F27" s="71">
        <f>F25-F26</f>
        <v/>
      </c>
      <c r="G27" s="71">
        <f>G25-G26</f>
        <v/>
      </c>
      <c r="H27" s="71">
        <f>H25-H26</f>
        <v/>
      </c>
      <c r="I27" s="71">
        <f>I25-I26</f>
        <v/>
      </c>
      <c r="J27" s="71">
        <f>J25-J26</f>
        <v/>
      </c>
      <c r="K27" s="71">
        <f>K25-K26</f>
        <v/>
      </c>
      <c r="L27" s="71">
        <f>L25-L26</f>
        <v/>
      </c>
      <c r="M27" s="71">
        <f>M25-M26</f>
        <v/>
      </c>
      <c r="N27" s="71">
        <f>N25-N26</f>
        <v/>
      </c>
      <c r="O27" s="71">
        <f>O25-O26</f>
        <v/>
      </c>
      <c r="P27" s="71">
        <f>P25-P26</f>
        <v/>
      </c>
      <c r="Q27" s="71">
        <f>Q25-Q26</f>
        <v/>
      </c>
      <c r="R27" s="71">
        <f>R25-R26</f>
        <v/>
      </c>
      <c r="S27" s="71">
        <f>S25-S26</f>
        <v/>
      </c>
      <c r="T27" s="71">
        <f>T25-T26</f>
        <v/>
      </c>
      <c r="U27" s="71">
        <f>U25-U26</f>
        <v/>
      </c>
      <c r="V27" s="71">
        <f>V25-V26</f>
        <v/>
      </c>
      <c r="W27" s="71">
        <f>W25-W26</f>
        <v/>
      </c>
      <c r="X27" s="71">
        <f>X25-X26</f>
        <v/>
      </c>
      <c r="Y27" s="71">
        <f>Y25-Y26</f>
        <v/>
      </c>
      <c r="Z27" s="71">
        <f>Z25-Z26</f>
        <v/>
      </c>
      <c r="AA27" s="68">
        <f>SUM(C27:Z27)</f>
        <v/>
      </c>
    </row>
    <row r="28">
      <c r="B28" s="14" t="inlineStr">
        <is>
          <t>Marketing/Acquisition cost</t>
        </is>
      </c>
      <c r="C28" s="67">
        <f>C22*$C$13</f>
        <v/>
      </c>
      <c r="D28" s="67">
        <f>D22*$C$13</f>
        <v/>
      </c>
      <c r="E28" s="67">
        <f>E22*$C$13</f>
        <v/>
      </c>
      <c r="F28" s="67">
        <f>F22*$C$13</f>
        <v/>
      </c>
      <c r="G28" s="67">
        <f>G22*$C$13</f>
        <v/>
      </c>
      <c r="H28" s="67">
        <f>H22*$C$13</f>
        <v/>
      </c>
      <c r="I28" s="67">
        <f>I22*$C$13</f>
        <v/>
      </c>
      <c r="J28" s="67">
        <f>J22*$C$13</f>
        <v/>
      </c>
      <c r="K28" s="67">
        <f>K22*$C$13</f>
        <v/>
      </c>
      <c r="L28" s="67">
        <f>L22*$C$13</f>
        <v/>
      </c>
      <c r="M28" s="67">
        <f>M22*$C$13</f>
        <v/>
      </c>
      <c r="N28" s="67">
        <f>N22*$C$13</f>
        <v/>
      </c>
      <c r="O28" s="67">
        <f>O22*$C$13</f>
        <v/>
      </c>
      <c r="P28" s="67">
        <f>P22*$C$13</f>
        <v/>
      </c>
      <c r="Q28" s="67">
        <f>Q22*$C$13</f>
        <v/>
      </c>
      <c r="R28" s="67">
        <f>R22*$C$13</f>
        <v/>
      </c>
      <c r="S28" s="67">
        <f>S22*$C$13</f>
        <v/>
      </c>
      <c r="T28" s="67">
        <f>T22*$C$13</f>
        <v/>
      </c>
      <c r="U28" s="67">
        <f>U22*$C$13</f>
        <v/>
      </c>
      <c r="V28" s="67">
        <f>V22*$C$13</f>
        <v/>
      </c>
      <c r="W28" s="67">
        <f>W22*$C$13</f>
        <v/>
      </c>
      <c r="X28" s="67">
        <f>X22*$C$13</f>
        <v/>
      </c>
      <c r="Y28" s="67">
        <f>Y22*$C$13</f>
        <v/>
      </c>
      <c r="Z28" s="67">
        <f>Z22*$C$13</f>
        <v/>
      </c>
      <c r="AA28" s="68">
        <f>SUM(C28:Z28)</f>
        <v/>
      </c>
    </row>
    <row r="29">
      <c r="B29" s="14" t="inlineStr">
        <is>
          <t>Fixed cost (salaries + ops)</t>
        </is>
      </c>
      <c r="C29" s="67">
        <f>$C$14</f>
        <v/>
      </c>
      <c r="D29" s="67">
        <f>$C$14</f>
        <v/>
      </c>
      <c r="E29" s="67">
        <f>$C$14</f>
        <v/>
      </c>
      <c r="F29" s="67">
        <f>$C$14</f>
        <v/>
      </c>
      <c r="G29" s="67">
        <f>$C$14</f>
        <v/>
      </c>
      <c r="H29" s="67">
        <f>$C$14</f>
        <v/>
      </c>
      <c r="I29" s="67">
        <f>$C$14</f>
        <v/>
      </c>
      <c r="J29" s="67">
        <f>$C$14</f>
        <v/>
      </c>
      <c r="K29" s="67">
        <f>$C$14</f>
        <v/>
      </c>
      <c r="L29" s="67">
        <f>$C$14</f>
        <v/>
      </c>
      <c r="M29" s="67">
        <f>$C$14</f>
        <v/>
      </c>
      <c r="N29" s="67">
        <f>$C$14</f>
        <v/>
      </c>
      <c r="O29" s="67">
        <f>$C$14</f>
        <v/>
      </c>
      <c r="P29" s="67">
        <f>$C$14</f>
        <v/>
      </c>
      <c r="Q29" s="67">
        <f>$C$14</f>
        <v/>
      </c>
      <c r="R29" s="67">
        <f>$C$14</f>
        <v/>
      </c>
      <c r="S29" s="67">
        <f>$C$14</f>
        <v/>
      </c>
      <c r="T29" s="67">
        <f>$C$14</f>
        <v/>
      </c>
      <c r="U29" s="67">
        <f>$C$14</f>
        <v/>
      </c>
      <c r="V29" s="67">
        <f>$C$14</f>
        <v/>
      </c>
      <c r="W29" s="67">
        <f>$C$14</f>
        <v/>
      </c>
      <c r="X29" s="67">
        <f>$C$14</f>
        <v/>
      </c>
      <c r="Y29" s="67">
        <f>$C$14</f>
        <v/>
      </c>
      <c r="Z29" s="67">
        <f>$C$14</f>
        <v/>
      </c>
      <c r="AA29" s="68">
        <f>SUM(C29:Z29)</f>
        <v/>
      </c>
    </row>
    <row r="30">
      <c r="B30" s="22" t="inlineStr">
        <is>
          <t>Operating Profit (EBITDA)</t>
        </is>
      </c>
      <c r="C30" s="72">
        <f>C27-C28-C29</f>
        <v/>
      </c>
      <c r="D30" s="72">
        <f>D27-D28-D29</f>
        <v/>
      </c>
      <c r="E30" s="72">
        <f>E27-E28-E29</f>
        <v/>
      </c>
      <c r="F30" s="72">
        <f>F27-F28-F29</f>
        <v/>
      </c>
      <c r="G30" s="72">
        <f>G27-G28-G29</f>
        <v/>
      </c>
      <c r="H30" s="72">
        <f>H27-H28-H29</f>
        <v/>
      </c>
      <c r="I30" s="72">
        <f>I27-I28-I29</f>
        <v/>
      </c>
      <c r="J30" s="72">
        <f>J27-J28-J29</f>
        <v/>
      </c>
      <c r="K30" s="72">
        <f>K27-K28-K29</f>
        <v/>
      </c>
      <c r="L30" s="72">
        <f>L27-L28-L29</f>
        <v/>
      </c>
      <c r="M30" s="72">
        <f>M27-M28-M29</f>
        <v/>
      </c>
      <c r="N30" s="72">
        <f>N27-N28-N29</f>
        <v/>
      </c>
      <c r="O30" s="72">
        <f>O27-O28-O29</f>
        <v/>
      </c>
      <c r="P30" s="72">
        <f>P27-P28-P29</f>
        <v/>
      </c>
      <c r="Q30" s="72">
        <f>Q27-Q28-Q29</f>
        <v/>
      </c>
      <c r="R30" s="72">
        <f>R27-R28-R29</f>
        <v/>
      </c>
      <c r="S30" s="72">
        <f>S27-S28-S29</f>
        <v/>
      </c>
      <c r="T30" s="72">
        <f>T27-T28-T29</f>
        <v/>
      </c>
      <c r="U30" s="72">
        <f>U27-U28-U29</f>
        <v/>
      </c>
      <c r="V30" s="72">
        <f>V27-V28-V29</f>
        <v/>
      </c>
      <c r="W30" s="72">
        <f>W27-W28-W29</f>
        <v/>
      </c>
      <c r="X30" s="72">
        <f>X27-X28-X29</f>
        <v/>
      </c>
      <c r="Y30" s="72">
        <f>Y27-Y28-Y29</f>
        <v/>
      </c>
      <c r="Z30" s="72">
        <f>Z27-Z28-Z29</f>
        <v/>
      </c>
      <c r="AA30" s="73">
        <f>SUM(C30:Z30)</f>
        <v/>
      </c>
    </row>
    <row r="32">
      <c r="B32" s="14" t="inlineStr">
        <is>
          <t>Cash Flow (after investment)</t>
        </is>
      </c>
      <c r="C32" s="67">
        <f>C30-$C$15</f>
        <v/>
      </c>
      <c r="D32" s="67">
        <f>D30</f>
        <v/>
      </c>
      <c r="E32" s="67">
        <f>E30</f>
        <v/>
      </c>
      <c r="F32" s="67">
        <f>F30</f>
        <v/>
      </c>
      <c r="G32" s="67">
        <f>G30</f>
        <v/>
      </c>
      <c r="H32" s="67">
        <f>H30</f>
        <v/>
      </c>
      <c r="I32" s="67">
        <f>I30</f>
        <v/>
      </c>
      <c r="J32" s="67">
        <f>J30</f>
        <v/>
      </c>
      <c r="K32" s="67">
        <f>K30</f>
        <v/>
      </c>
      <c r="L32" s="67">
        <f>L30</f>
        <v/>
      </c>
      <c r="M32" s="67">
        <f>M30</f>
        <v/>
      </c>
      <c r="N32" s="67">
        <f>N30</f>
        <v/>
      </c>
      <c r="O32" s="67">
        <f>O30</f>
        <v/>
      </c>
      <c r="P32" s="67">
        <f>P30</f>
        <v/>
      </c>
      <c r="Q32" s="67">
        <f>Q30</f>
        <v/>
      </c>
      <c r="R32" s="67">
        <f>R30</f>
        <v/>
      </c>
      <c r="S32" s="67">
        <f>S30</f>
        <v/>
      </c>
      <c r="T32" s="67">
        <f>T30</f>
        <v/>
      </c>
      <c r="U32" s="67">
        <f>U30</f>
        <v/>
      </c>
      <c r="V32" s="67">
        <f>V30</f>
        <v/>
      </c>
      <c r="W32" s="67">
        <f>W30</f>
        <v/>
      </c>
      <c r="X32" s="67">
        <f>X30</f>
        <v/>
      </c>
      <c r="Y32" s="67">
        <f>Y30</f>
        <v/>
      </c>
      <c r="Z32" s="67">
        <f>Z30</f>
        <v/>
      </c>
      <c r="AA32" s="68">
        <f>SUM(C32:Z32)</f>
        <v/>
      </c>
    </row>
    <row r="33">
      <c r="B33" s="25" t="inlineStr">
        <is>
          <t>Cash Position (cumulative)</t>
        </is>
      </c>
      <c r="C33" s="74">
        <f>$C$16+C32</f>
        <v/>
      </c>
      <c r="D33" s="74">
        <f>C33+D32</f>
        <v/>
      </c>
      <c r="E33" s="74">
        <f>D33+E32</f>
        <v/>
      </c>
      <c r="F33" s="74">
        <f>E33+F32</f>
        <v/>
      </c>
      <c r="G33" s="74">
        <f>F33+G32</f>
        <v/>
      </c>
      <c r="H33" s="74">
        <f>G33+H32</f>
        <v/>
      </c>
      <c r="I33" s="74">
        <f>H33+I32</f>
        <v/>
      </c>
      <c r="J33" s="74">
        <f>I33+J32</f>
        <v/>
      </c>
      <c r="K33" s="74">
        <f>J33+K32</f>
        <v/>
      </c>
      <c r="L33" s="74">
        <f>K33+L32</f>
        <v/>
      </c>
      <c r="M33" s="74">
        <f>L33+M32</f>
        <v/>
      </c>
      <c r="N33" s="74">
        <f>M33+N32</f>
        <v/>
      </c>
      <c r="O33" s="74">
        <f>N33+O32</f>
        <v/>
      </c>
      <c r="P33" s="74">
        <f>O33+P32</f>
        <v/>
      </c>
      <c r="Q33" s="74">
        <f>P33+Q32</f>
        <v/>
      </c>
      <c r="R33" s="74">
        <f>Q33+R32</f>
        <v/>
      </c>
      <c r="S33" s="74">
        <f>R33+S32</f>
        <v/>
      </c>
      <c r="T33" s="74">
        <f>S33+T32</f>
        <v/>
      </c>
      <c r="U33" s="74">
        <f>T33+U32</f>
        <v/>
      </c>
      <c r="V33" s="74">
        <f>U33+V32</f>
        <v/>
      </c>
      <c r="W33" s="74">
        <f>V33+W32</f>
        <v/>
      </c>
      <c r="X33" s="74">
        <f>W33+X32</f>
        <v/>
      </c>
      <c r="Y33" s="74">
        <f>X33+Y32</f>
        <v/>
      </c>
      <c r="Z33" s="74">
        <f>Y33+Z32</f>
        <v/>
      </c>
    </row>
    <row r="36">
      <c r="B36" s="10" t="inlineStr">
        <is>
          <t>ROI Metrics  /  Chỉ số đánh giá tổng thể dự án</t>
        </is>
      </c>
    </row>
    <row r="37">
      <c r="B37" s="20" t="inlineStr">
        <is>
          <t>NPV (Net Present Value, mil VND)</t>
        </is>
      </c>
      <c r="C37" s="75">
        <f>(NPV($C$17,D32:Z32)+C32)/1000000</f>
        <v/>
      </c>
      <c r="D37" s="5">
        <f>"(target: &gt; 0)"</f>
        <v/>
      </c>
    </row>
    <row r="38">
      <c r="B38" s="20" t="inlineStr">
        <is>
          <t>IRR (Annual)</t>
        </is>
      </c>
      <c r="C38" s="76">
        <f>IFERROR((1+IRR(C32:Z32))^12-1,0)</f>
        <v/>
      </c>
      <c r="D38" s="5">
        <f>"(target: &gt; "&amp;TEXT(CHOOSE($C$6,'1. Assumptions'!C35,'1. Assumptions'!D35,'1. Assumptions'!E35),"0.0%")&amp;")"</f>
        <v/>
      </c>
    </row>
    <row r="39">
      <c r="B39" s="20" t="inlineStr">
        <is>
          <t>Project Payback (months)</t>
        </is>
      </c>
      <c r="C39" s="29">
        <f>IFERROR(MATCH(TRUE(),INDEX(C41:Z41&gt;=0,0),0),"&gt; 24")</f>
        <v/>
      </c>
      <c r="D39" s="5">
        <f>"(target: &lt; 24)"</f>
        <v/>
      </c>
    </row>
    <row r="40">
      <c r="B40" s="20" t="inlineStr">
        <is>
          <t>Runway (months until cash = 0)</t>
        </is>
      </c>
      <c r="C40" s="29">
        <f>IFERROR(MATCH(TRUE(),INDEX(C33:Z33&lt;0,0),0)-1,"&gt;= 24")</f>
        <v/>
      </c>
      <c r="D40" s="5">
        <f>"(target: &gt;= 12)"</f>
        <v/>
      </c>
    </row>
    <row r="41">
      <c r="B41" s="30" t="inlineStr">
        <is>
          <t>(helper: cumulative cash flow)</t>
        </is>
      </c>
      <c r="C41" s="77">
        <f>C32</f>
        <v/>
      </c>
      <c r="D41" s="77">
        <f>C41+D32</f>
        <v/>
      </c>
      <c r="E41" s="77">
        <f>D41+E32</f>
        <v/>
      </c>
      <c r="F41" s="77">
        <f>E41+F32</f>
        <v/>
      </c>
      <c r="G41" s="77">
        <f>F41+G32</f>
        <v/>
      </c>
      <c r="H41" s="77">
        <f>G41+H32</f>
        <v/>
      </c>
      <c r="I41" s="77">
        <f>H41+I32</f>
        <v/>
      </c>
      <c r="J41" s="77">
        <f>I41+J32</f>
        <v/>
      </c>
      <c r="K41" s="77">
        <f>J41+K32</f>
        <v/>
      </c>
      <c r="L41" s="77">
        <f>K41+L32</f>
        <v/>
      </c>
      <c r="M41" s="77">
        <f>L41+M32</f>
        <v/>
      </c>
      <c r="N41" s="77">
        <f>M41+N32</f>
        <v/>
      </c>
      <c r="O41" s="77">
        <f>N41+O32</f>
        <v/>
      </c>
      <c r="P41" s="77">
        <f>O41+P32</f>
        <v/>
      </c>
      <c r="Q41" s="77">
        <f>P41+Q32</f>
        <v/>
      </c>
      <c r="R41" s="77">
        <f>Q41+R32</f>
        <v/>
      </c>
      <c r="S41" s="77">
        <f>R41+S32</f>
        <v/>
      </c>
      <c r="T41" s="77">
        <f>S41+T32</f>
        <v/>
      </c>
      <c r="U41" s="77">
        <f>T41+U32</f>
        <v/>
      </c>
      <c r="V41" s="77">
        <f>U41+V32</f>
        <v/>
      </c>
      <c r="W41" s="77">
        <f>V41+W32</f>
        <v/>
      </c>
      <c r="X41" s="77">
        <f>W41+X32</f>
        <v/>
      </c>
      <c r="Y41" s="77">
        <f>X41+Y32</f>
        <v/>
      </c>
      <c r="Z41" s="77">
        <f>Y41+Z32</f>
        <v/>
      </c>
    </row>
    <row r="43">
      <c r="B43" s="10" t="inlineStr">
        <is>
          <t>Final Verdict  /  Có nên làm dự án này?</t>
        </is>
      </c>
    </row>
    <row r="44" ht="17.6" customHeight="1">
      <c r="B44" s="20" t="inlineStr">
        <is>
          <t>Project Decision</t>
        </is>
      </c>
      <c r="C44" s="32">
        <f>IF(AND(C37&gt;0,C38&gt;CHOOSE($C$6,'1. Assumptions'!C35,'1. Assumptions'!D35,'1. Assumptions'!E35)),"✓ GO — NPV+ và IRR &gt; WACC",IF(C37&lt;0,"✗ NO-GO — NPV âm: dự án không tạo giá trị","⚠ HOLD — IRR thấp hơn kỳ vọng, cần điều chỉnh"))</f>
        <v/>
      </c>
    </row>
  </sheetData>
  <mergeCells count="6">
    <mergeCell ref="D4:H4"/>
    <mergeCell ref="B36:J36"/>
    <mergeCell ref="B2:H2"/>
    <mergeCell ref="C44:J44"/>
    <mergeCell ref="B43:J43"/>
    <mergeCell ref="B20:AA20"/>
  </mergeCells>
  <conditionalFormatting sqref="C33">
    <cfRule type="cellIs" priority="2" operator="lessThan" dxfId="3">
      <formula>0</formula>
    </cfRule>
  </conditionalFormatting>
  <conditionalFormatting sqref="D33">
    <cfRule type="cellIs" priority="3" operator="lessThan" dxfId="3">
      <formula>0</formula>
    </cfRule>
  </conditionalFormatting>
  <conditionalFormatting sqref="E33">
    <cfRule type="cellIs" priority="4" operator="lessThan" dxfId="3">
      <formula>0</formula>
    </cfRule>
  </conditionalFormatting>
  <conditionalFormatting sqref="F33">
    <cfRule type="cellIs" priority="5" operator="lessThan" dxfId="3">
      <formula>0</formula>
    </cfRule>
  </conditionalFormatting>
  <conditionalFormatting sqref="G33">
    <cfRule type="cellIs" priority="6" operator="lessThan" dxfId="3">
      <formula>0</formula>
    </cfRule>
  </conditionalFormatting>
  <conditionalFormatting sqref="H33">
    <cfRule type="cellIs" priority="7" operator="lessThan" dxfId="3">
      <formula>0</formula>
    </cfRule>
  </conditionalFormatting>
  <conditionalFormatting sqref="I33">
    <cfRule type="cellIs" priority="8" operator="lessThan" dxfId="3">
      <formula>0</formula>
    </cfRule>
  </conditionalFormatting>
  <conditionalFormatting sqref="J33">
    <cfRule type="cellIs" priority="9" operator="lessThan" dxfId="3">
      <formula>0</formula>
    </cfRule>
  </conditionalFormatting>
  <conditionalFormatting sqref="K33">
    <cfRule type="cellIs" priority="10" operator="lessThan" dxfId="3">
      <formula>0</formula>
    </cfRule>
  </conditionalFormatting>
  <conditionalFormatting sqref="L33">
    <cfRule type="cellIs" priority="11" operator="lessThan" dxfId="3">
      <formula>0</formula>
    </cfRule>
  </conditionalFormatting>
  <conditionalFormatting sqref="M33">
    <cfRule type="cellIs" priority="12" operator="lessThan" dxfId="3">
      <formula>0</formula>
    </cfRule>
  </conditionalFormatting>
  <conditionalFormatting sqref="N33">
    <cfRule type="cellIs" priority="13" operator="lessThan" dxfId="3">
      <formula>0</formula>
    </cfRule>
  </conditionalFormatting>
  <conditionalFormatting sqref="O33">
    <cfRule type="cellIs" priority="14" operator="lessThan" dxfId="3">
      <formula>0</formula>
    </cfRule>
  </conditionalFormatting>
  <conditionalFormatting sqref="P33">
    <cfRule type="cellIs" priority="15" operator="lessThan" dxfId="3">
      <formula>0</formula>
    </cfRule>
  </conditionalFormatting>
  <conditionalFormatting sqref="Q33">
    <cfRule type="cellIs" priority="16" operator="lessThan" dxfId="3">
      <formula>0</formula>
    </cfRule>
  </conditionalFormatting>
  <conditionalFormatting sqref="R33">
    <cfRule type="cellIs" priority="17" operator="lessThan" dxfId="3">
      <formula>0</formula>
    </cfRule>
  </conditionalFormatting>
  <conditionalFormatting sqref="S33">
    <cfRule type="cellIs" priority="18" operator="lessThan" dxfId="3">
      <formula>0</formula>
    </cfRule>
  </conditionalFormatting>
  <conditionalFormatting sqref="T33">
    <cfRule type="cellIs" priority="19" operator="lessThan" dxfId="3">
      <formula>0</formula>
    </cfRule>
  </conditionalFormatting>
  <conditionalFormatting sqref="U33">
    <cfRule type="cellIs" priority="20" operator="lessThan" dxfId="3">
      <formula>0</formula>
    </cfRule>
  </conditionalFormatting>
  <conditionalFormatting sqref="V33">
    <cfRule type="cellIs" priority="21" operator="lessThan" dxfId="3">
      <formula>0</formula>
    </cfRule>
  </conditionalFormatting>
  <conditionalFormatting sqref="W33">
    <cfRule type="cellIs" priority="22" operator="lessThan" dxfId="3">
      <formula>0</formula>
    </cfRule>
  </conditionalFormatting>
  <conditionalFormatting sqref="X33">
    <cfRule type="cellIs" priority="23" operator="lessThan" dxfId="3">
      <formula>0</formula>
    </cfRule>
  </conditionalFormatting>
  <conditionalFormatting sqref="Y33">
    <cfRule type="cellIs" priority="24" operator="lessThan" dxfId="3">
      <formula>0</formula>
    </cfRule>
  </conditionalFormatting>
  <conditionalFormatting sqref="Z33">
    <cfRule type="cellIs" priority="25" operator="lessThan" dxfId="3">
      <formula>0</formula>
    </cfRule>
  </conditionalFormatting>
  <conditionalFormatting sqref="C37">
    <cfRule type="cellIs" priority="26" operator="greaterThan" dxfId="4">
      <formula>0</formula>
    </cfRule>
    <cfRule type="cellIs" priority="27" operator="lessThanOrEqual" dxfId="5">
      <formula>0</formula>
    </cfRule>
  </conditionalFormatting>
  <conditionalFormatting sqref="C38">
    <cfRule type="expression" priority="28" dxfId="4">
      <formula>C38&gt;CHOOSE($C$6,'1. Assumptions'!C35,'1. Assumptions'!D35,'1. Assumptions'!E35)</formula>
    </cfRule>
    <cfRule type="expression" priority="29" dxfId="5">
      <formula>C38&lt;=CHOOSE($C$6,'1. Assumptions'!C35,'1. Assumptions'!D35,'1. Assumptions'!E35)</formula>
    </cfRule>
  </conditionalFormatting>
  <conditionalFormatting sqref="C40">
    <cfRule type="expression" priority="30" dxfId="5">
      <formula>AND(ISNUMBER(C40),C40&lt;12)</formula>
    </cfRule>
  </conditionalFormatting>
  <dataValidations count="1">
    <dataValidation sqref="C4" showDropDown="0" showInputMessage="0" showErrorMessage="0" allowBlank="0" type="list">
      <formula1>"Optimistic,Base,Pessimistic"</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30" customWidth="1" min="2" max="2"/>
    <col width="12" customWidth="1" min="3" max="3"/>
    <col width="12" customWidth="1" min="4" max="4"/>
    <col width="12" customWidth="1" min="5" max="5"/>
    <col width="12" customWidth="1" min="6" max="6"/>
    <col width="12" customWidth="1" min="7" max="7"/>
    <col width="12" customWidth="1" min="8" max="8"/>
    <col width="46" customWidth="1" min="9" max="9"/>
  </cols>
  <sheetData>
    <row r="2">
      <c r="B2" s="1" t="inlineStr">
        <is>
          <t>Tab 4 — SENSITIVITY ANALYSIS  /  Phân tích độ nhạy</t>
        </is>
      </c>
    </row>
    <row r="3">
      <c r="B3" s="5" t="inlineStr">
        <is>
          <t>Tự động tính từ Tab 1. Câu hỏi: nếu ARPU hoặc Churn xấu đi thì mô hình gãy ở đâu? Giá trị Base hiện tại: ARPU 1.600.000, Churn 3,0%.</t>
        </is>
      </c>
    </row>
    <row r="5">
      <c r="B5" s="10" t="inlineStr">
        <is>
          <t>Bảng 1 — LTV / CAC Ratio</t>
        </is>
      </c>
    </row>
    <row r="6">
      <c r="B6" s="34" t="inlineStr">
        <is>
          <t>ARPU ↓  /  Churn →</t>
        </is>
      </c>
      <c r="C6" s="78" t="n">
        <v>0.02</v>
      </c>
      <c r="D6" s="78" t="n">
        <v>0.025</v>
      </c>
      <c r="E6" s="78" t="n">
        <v>0.03</v>
      </c>
      <c r="F6" s="78" t="n">
        <v>0.035</v>
      </c>
      <c r="G6" s="78" t="n">
        <v>0.04</v>
      </c>
      <c r="H6" s="78" t="n">
        <v>0.045</v>
      </c>
    </row>
    <row r="7">
      <c r="B7" s="79" t="n">
        <v>1200000</v>
      </c>
      <c r="C7" s="80">
        <f>IFERROR((($B7-'1. Assumptions'!$D$15)/C$6)/'1. Assumptions'!$D$22,0)</f>
        <v/>
      </c>
      <c r="D7" s="80">
        <f>IFERROR((($B7-'1. Assumptions'!$D$15)/D$6)/'1. Assumptions'!$D$22,0)</f>
        <v/>
      </c>
      <c r="E7" s="80">
        <f>IFERROR((($B7-'1. Assumptions'!$D$15)/E$6)/'1. Assumptions'!$D$22,0)</f>
        <v/>
      </c>
      <c r="F7" s="80">
        <f>IFERROR((($B7-'1. Assumptions'!$D$15)/F$6)/'1. Assumptions'!$D$22,0)</f>
        <v/>
      </c>
      <c r="G7" s="80">
        <f>IFERROR((($B7-'1. Assumptions'!$D$15)/G$6)/'1. Assumptions'!$D$22,0)</f>
        <v/>
      </c>
      <c r="H7" s="80">
        <f>IFERROR((($B7-'1. Assumptions'!$D$15)/H$6)/'1. Assumptions'!$D$22,0)</f>
        <v/>
      </c>
      <c r="I7" s="81" t="inlineStr">
        <is>
          <t>Xanh = LTV/CAC ≥ 3,0 (chuẩn vàng VC). Vàng = 1–3, sống ngắc ngoải: đủ trả marketing nhưng không đủ trả lương. Đỏ = &lt; 1, mỗi đồng marketing thu về chưa tới 1 đồng lãi gộp. COGS và CAC lấy từ cột Base của Tab 1.</t>
        </is>
      </c>
    </row>
    <row r="8">
      <c r="B8" s="79" t="n">
        <v>1400000</v>
      </c>
      <c r="C8" s="80">
        <f>IFERROR((($B8-'1. Assumptions'!$D$15)/C$6)/'1. Assumptions'!$D$22,0)</f>
        <v/>
      </c>
      <c r="D8" s="80">
        <f>IFERROR((($B8-'1. Assumptions'!$D$15)/D$6)/'1. Assumptions'!$D$22,0)</f>
        <v/>
      </c>
      <c r="E8" s="80">
        <f>IFERROR((($B8-'1. Assumptions'!$D$15)/E$6)/'1. Assumptions'!$D$22,0)</f>
        <v/>
      </c>
      <c r="F8" s="80">
        <f>IFERROR((($B8-'1. Assumptions'!$D$15)/F$6)/'1. Assumptions'!$D$22,0)</f>
        <v/>
      </c>
      <c r="G8" s="80">
        <f>IFERROR((($B8-'1. Assumptions'!$D$15)/G$6)/'1. Assumptions'!$D$22,0)</f>
        <v/>
      </c>
      <c r="H8" s="80">
        <f>IFERROR((($B8-'1. Assumptions'!$D$15)/H$6)/'1. Assumptions'!$D$22,0)</f>
        <v/>
      </c>
    </row>
    <row r="9">
      <c r="B9" s="79" t="n">
        <v>1600000</v>
      </c>
      <c r="C9" s="80">
        <f>IFERROR((($B9-'1. Assumptions'!$D$15)/C$6)/'1. Assumptions'!$D$22,0)</f>
        <v/>
      </c>
      <c r="D9" s="80">
        <f>IFERROR((($B9-'1. Assumptions'!$D$15)/D$6)/'1. Assumptions'!$D$22,0)</f>
        <v/>
      </c>
      <c r="E9" s="80">
        <f>IFERROR((($B9-'1. Assumptions'!$D$15)/E$6)/'1. Assumptions'!$D$22,0)</f>
        <v/>
      </c>
      <c r="F9" s="80">
        <f>IFERROR((($B9-'1. Assumptions'!$D$15)/F$6)/'1. Assumptions'!$D$22,0)</f>
        <v/>
      </c>
      <c r="G9" s="80">
        <f>IFERROR((($B9-'1. Assumptions'!$D$15)/G$6)/'1. Assumptions'!$D$22,0)</f>
        <v/>
      </c>
      <c r="H9" s="80">
        <f>IFERROR((($B9-'1. Assumptions'!$D$15)/H$6)/'1. Assumptions'!$D$22,0)</f>
        <v/>
      </c>
    </row>
    <row r="10">
      <c r="B10" s="79" t="n">
        <v>1800000</v>
      </c>
      <c r="C10" s="80">
        <f>IFERROR((($B10-'1. Assumptions'!$D$15)/C$6)/'1. Assumptions'!$D$22,0)</f>
        <v/>
      </c>
      <c r="D10" s="80">
        <f>IFERROR((($B10-'1. Assumptions'!$D$15)/D$6)/'1. Assumptions'!$D$22,0)</f>
        <v/>
      </c>
      <c r="E10" s="80">
        <f>IFERROR((($B10-'1. Assumptions'!$D$15)/E$6)/'1. Assumptions'!$D$22,0)</f>
        <v/>
      </c>
      <c r="F10" s="80">
        <f>IFERROR((($B10-'1. Assumptions'!$D$15)/F$6)/'1. Assumptions'!$D$22,0)</f>
        <v/>
      </c>
      <c r="G10" s="80">
        <f>IFERROR((($B10-'1. Assumptions'!$D$15)/G$6)/'1. Assumptions'!$D$22,0)</f>
        <v/>
      </c>
      <c r="H10" s="80">
        <f>IFERROR((($B10-'1. Assumptions'!$D$15)/H$6)/'1. Assumptions'!$D$22,0)</f>
        <v/>
      </c>
    </row>
    <row r="11">
      <c r="B11" s="79" t="n">
        <v>2000000</v>
      </c>
      <c r="C11" s="80">
        <f>IFERROR((($B11-'1. Assumptions'!$D$15)/C$6)/'1. Assumptions'!$D$22,0)</f>
        <v/>
      </c>
      <c r="D11" s="80">
        <f>IFERROR((($B11-'1. Assumptions'!$D$15)/D$6)/'1. Assumptions'!$D$22,0)</f>
        <v/>
      </c>
      <c r="E11" s="80">
        <f>IFERROR((($B11-'1. Assumptions'!$D$15)/E$6)/'1. Assumptions'!$D$22,0)</f>
        <v/>
      </c>
      <c r="F11" s="80">
        <f>IFERROR((($B11-'1. Assumptions'!$D$15)/F$6)/'1. Assumptions'!$D$22,0)</f>
        <v/>
      </c>
      <c r="G11" s="80">
        <f>IFERROR((($B11-'1. Assumptions'!$D$15)/G$6)/'1. Assumptions'!$D$22,0)</f>
        <v/>
      </c>
      <c r="H11" s="80">
        <f>IFERROR((($B11-'1. Assumptions'!$D$15)/H$6)/'1. Assumptions'!$D$22,0)</f>
        <v/>
      </c>
    </row>
    <row r="13">
      <c r="B13" s="10" t="inlineStr">
        <is>
          <t>Bảng 2 — LTV (triệu đồng, tính trên Gross Profit)</t>
        </is>
      </c>
    </row>
    <row r="14">
      <c r="B14" s="34" t="inlineStr">
        <is>
          <t>ARPU ↓  /  Churn →</t>
        </is>
      </c>
      <c r="C14" s="78" t="n">
        <v>0.02</v>
      </c>
      <c r="D14" s="78" t="n">
        <v>0.025</v>
      </c>
      <c r="E14" s="78" t="n">
        <v>0.03</v>
      </c>
      <c r="F14" s="78" t="n">
        <v>0.035</v>
      </c>
      <c r="G14" s="78" t="n">
        <v>0.04</v>
      </c>
      <c r="H14" s="78" t="n">
        <v>0.045</v>
      </c>
    </row>
    <row r="15">
      <c r="B15" s="79" t="n">
        <v>1200000</v>
      </c>
      <c r="C15" s="82">
        <f>IFERROR((($B15-'1. Assumptions'!$D$15)/C$14)/1000000,0)</f>
        <v/>
      </c>
      <c r="D15" s="82">
        <f>IFERROR((($B15-'1. Assumptions'!$D$15)/D$14)/1000000,0)</f>
        <v/>
      </c>
      <c r="E15" s="82">
        <f>IFERROR((($B15-'1. Assumptions'!$D$15)/E$14)/1000000,0)</f>
        <v/>
      </c>
      <c r="F15" s="82">
        <f>IFERROR((($B15-'1. Assumptions'!$D$15)/F$14)/1000000,0)</f>
        <v/>
      </c>
      <c r="G15" s="82">
        <f>IFERROR((($B15-'1. Assumptions'!$D$15)/G$14)/1000000,0)</f>
        <v/>
      </c>
      <c r="H15" s="82">
        <f>IFERROR((($B15-'1. Assumptions'!$D$15)/H$14)/1000000,0)</f>
        <v/>
      </c>
      <c r="I15" s="81" t="inlineStr">
        <is>
          <t>LTV = Gross Profit × số tháng ở lại. Đọc theo hàng ngang thấy rõ: churn xấu đi từ 3,0% lên 4,5% (1,5 lần) làm LTV rơi 33%, trong khi ARPU phải giảm tới 33% mới gây thiệt hại tương đương. Churn là biến nguy hiểm hơn giá.</t>
        </is>
      </c>
    </row>
    <row r="16">
      <c r="B16" s="79" t="n">
        <v>1400000</v>
      </c>
      <c r="C16" s="82">
        <f>IFERROR((($B16-'1. Assumptions'!$D$15)/C$14)/1000000,0)</f>
        <v/>
      </c>
      <c r="D16" s="82">
        <f>IFERROR((($B16-'1. Assumptions'!$D$15)/D$14)/1000000,0)</f>
        <v/>
      </c>
      <c r="E16" s="82">
        <f>IFERROR((($B16-'1. Assumptions'!$D$15)/E$14)/1000000,0)</f>
        <v/>
      </c>
      <c r="F16" s="82">
        <f>IFERROR((($B16-'1. Assumptions'!$D$15)/F$14)/1000000,0)</f>
        <v/>
      </c>
      <c r="G16" s="82">
        <f>IFERROR((($B16-'1. Assumptions'!$D$15)/G$14)/1000000,0)</f>
        <v/>
      </c>
      <c r="H16" s="82">
        <f>IFERROR((($B16-'1. Assumptions'!$D$15)/H$14)/1000000,0)</f>
        <v/>
      </c>
    </row>
    <row r="17">
      <c r="B17" s="79" t="n">
        <v>1600000</v>
      </c>
      <c r="C17" s="82">
        <f>IFERROR((($B17-'1. Assumptions'!$D$15)/C$14)/1000000,0)</f>
        <v/>
      </c>
      <c r="D17" s="82">
        <f>IFERROR((($B17-'1. Assumptions'!$D$15)/D$14)/1000000,0)</f>
        <v/>
      </c>
      <c r="E17" s="82">
        <f>IFERROR((($B17-'1. Assumptions'!$D$15)/E$14)/1000000,0)</f>
        <v/>
      </c>
      <c r="F17" s="82">
        <f>IFERROR((($B17-'1. Assumptions'!$D$15)/F$14)/1000000,0)</f>
        <v/>
      </c>
      <c r="G17" s="82">
        <f>IFERROR((($B17-'1. Assumptions'!$D$15)/G$14)/1000000,0)</f>
        <v/>
      </c>
      <c r="H17" s="82">
        <f>IFERROR((($B17-'1. Assumptions'!$D$15)/H$14)/1000000,0)</f>
        <v/>
      </c>
    </row>
    <row r="18">
      <c r="B18" s="79" t="n">
        <v>1800000</v>
      </c>
      <c r="C18" s="82">
        <f>IFERROR((($B18-'1. Assumptions'!$D$15)/C$14)/1000000,0)</f>
        <v/>
      </c>
      <c r="D18" s="82">
        <f>IFERROR((($B18-'1. Assumptions'!$D$15)/D$14)/1000000,0)</f>
        <v/>
      </c>
      <c r="E18" s="82">
        <f>IFERROR((($B18-'1. Assumptions'!$D$15)/E$14)/1000000,0)</f>
        <v/>
      </c>
      <c r="F18" s="82">
        <f>IFERROR((($B18-'1. Assumptions'!$D$15)/F$14)/1000000,0)</f>
        <v/>
      </c>
      <c r="G18" s="82">
        <f>IFERROR((($B18-'1. Assumptions'!$D$15)/G$14)/1000000,0)</f>
        <v/>
      </c>
      <c r="H18" s="82">
        <f>IFERROR((($B18-'1. Assumptions'!$D$15)/H$14)/1000000,0)</f>
        <v/>
      </c>
    </row>
    <row r="19">
      <c r="B19" s="79" t="n">
        <v>2000000</v>
      </c>
      <c r="C19" s="82">
        <f>IFERROR((($B19-'1. Assumptions'!$D$15)/C$14)/1000000,0)</f>
        <v/>
      </c>
      <c r="D19" s="82">
        <f>IFERROR((($B19-'1. Assumptions'!$D$15)/D$14)/1000000,0)</f>
        <v/>
      </c>
      <c r="E19" s="82">
        <f>IFERROR((($B19-'1. Assumptions'!$D$15)/E$14)/1000000,0)</f>
        <v/>
      </c>
      <c r="F19" s="82">
        <f>IFERROR((($B19-'1. Assumptions'!$D$15)/F$14)/1000000,0)</f>
        <v/>
      </c>
      <c r="G19" s="82">
        <f>IFERROR((($B19-'1. Assumptions'!$D$15)/G$14)/1000000,0)</f>
        <v/>
      </c>
      <c r="H19" s="82">
        <f>IFERROR((($B19-'1. Assumptions'!$D$15)/H$14)/1000000,0)</f>
        <v/>
      </c>
    </row>
    <row r="21">
      <c r="B21" s="10" t="inlineStr">
        <is>
          <t>Bảng 3 — Điểm gãy: ARPU tối thiểu để giữ LTV/CAC ≥ 3,0</t>
        </is>
      </c>
    </row>
    <row r="22">
      <c r="B22" s="34" t="inlineStr">
        <is>
          <t>Monthly Churn →</t>
        </is>
      </c>
      <c r="C22" s="78" t="n">
        <v>0.02</v>
      </c>
      <c r="D22" s="78" t="n">
        <v>0.025</v>
      </c>
      <c r="E22" s="78" t="n">
        <v>0.03</v>
      </c>
      <c r="F22" s="78" t="n">
        <v>0.035</v>
      </c>
      <c r="G22" s="78" t="n">
        <v>0.04</v>
      </c>
      <c r="H22" s="78" t="n">
        <v>0.045</v>
      </c>
    </row>
    <row r="23">
      <c r="B23" s="83" t="inlineStr">
        <is>
          <t>ARPU tối thiểu (VND)</t>
        </is>
      </c>
      <c r="C23" s="84">
        <f>'1. Assumptions'!$D$15+3*'1. Assumptions'!$D$22*C$22</f>
        <v/>
      </c>
      <c r="D23" s="84">
        <f>'1. Assumptions'!$D$15+3*'1. Assumptions'!$D$22*D$22</f>
        <v/>
      </c>
      <c r="E23" s="84">
        <f>'1. Assumptions'!$D$15+3*'1. Assumptions'!$D$22*E$22</f>
        <v/>
      </c>
      <c r="F23" s="84">
        <f>'1. Assumptions'!$D$15+3*'1. Assumptions'!$D$22*F$22</f>
        <v/>
      </c>
      <c r="G23" s="84">
        <f>'1. Assumptions'!$D$15+3*'1. Assumptions'!$D$22*G$22</f>
        <v/>
      </c>
      <c r="H23" s="84">
        <f>'1. Assumptions'!$D$15+3*'1. Assumptions'!$D$22*H$22</f>
        <v/>
      </c>
      <c r="I23" s="81" t="inlineStr">
        <is>
          <t>Công thức: ARPU_min = COGS + 3 × CAC × Churn. Nếu churn trượt lên 4,5% mà vẫn muốn giữ chuẩn VC thì phải bán được giá này — nếu không bán nổi thì phải hạ CAC hoặc sửa sản phẩm để giữ chân khách.</t>
        </is>
      </c>
    </row>
    <row r="24"/>
    <row r="25"/>
    <row r="26">
      <c r="B26" s="10" t="inlineStr">
        <is>
          <t>Bảng 4 — Kiểm chứng ROI (không dùng công thức mảng)</t>
        </is>
      </c>
    </row>
    <row r="27">
      <c r="B27" s="85" t="inlineStr">
        <is>
          <t>Scenario đang chọn ở Tab 3</t>
        </is>
      </c>
      <c r="C27" s="86">
        <f>'3. P&amp;L &amp; ROI'!C4</f>
        <v/>
      </c>
      <c r="I27" s="81" t="inlineStr">
        <is>
          <t>Đối chiếu chéo với ô C39/C40 của Tab 3. Hai ô đó dùng MATCH(TRUE(),INDEX(...)) — công thức mảng, có bản Excel/WPS không nhận. Bảng này tính cùng kết quả bằng COUNTIF nên chạy được ở mọi phiên bản. Kỳ vọng: Base → Runway 24, Payback 21; Pessimistic → Runway 14, Payback &gt; 24.</t>
        </is>
      </c>
    </row>
    <row r="28">
      <c r="B28" s="85" t="inlineStr">
        <is>
          <t>Số tháng tiền mặt KHÔNG âm (= Runway)</t>
        </is>
      </c>
      <c r="C28" s="87">
        <f>COUNTIF('3. P&amp;L &amp; ROI'!C33:Z33,"&gt;=0")</f>
        <v/>
      </c>
    </row>
    <row r="29">
      <c r="B29" s="85" t="inlineStr">
        <is>
          <t>Project Payback (tháng)</t>
        </is>
      </c>
      <c r="C29" s="86">
        <f>IF(COUNTIF('3. P&amp;L &amp; ROI'!C41:Z41,"&gt;=0")=0,"&gt; 24",25-COUNTIF('3. P&amp;L &amp; ROI'!C41:Z41,"&gt;=0"))</f>
        <v/>
      </c>
    </row>
    <row r="30">
      <c r="B30" s="85" t="inlineStr">
        <is>
          <t>Tiền mặt thấp nhất trong 24 tháng (triệu)</t>
        </is>
      </c>
      <c r="C30" s="84">
        <f>MIN('3. P&amp;L &amp; ROI'!C33:Z33)/1000000</f>
        <v/>
      </c>
    </row>
  </sheetData>
  <mergeCells count="10">
    <mergeCell ref="I27:I30"/>
    <mergeCell ref="I23:I25"/>
    <mergeCell ref="B26:H26"/>
    <mergeCell ref="B13:H13"/>
    <mergeCell ref="B21:H21"/>
    <mergeCell ref="I15:I19"/>
    <mergeCell ref="B2:H2"/>
    <mergeCell ref="B3:H3"/>
    <mergeCell ref="B5:H5"/>
    <mergeCell ref="I7:I11"/>
  </mergeCells>
  <conditionalFormatting sqref="C7:H11">
    <cfRule type="cellIs" priority="1" operator="greaterThanOrEqual" dxfId="25">
      <formula>3</formula>
    </cfRule>
    <cfRule type="cellIs" priority="2" operator="between" dxfId="26">
      <formula>1</formula>
      <formula>3</formula>
    </cfRule>
    <cfRule type="cellIs" priority="3" operator="lessThan" dxfId="27">
      <formula>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2026-05-03T22:07:00Z</dcterms:created>
  <dcterms:modified xmlns:dcterms="http://purl.org/dc/terms/" xmlns:xsi="http://www.w3.org/2001/XMLSchema-instance" xsi:type="dcterms:W3CDTF">2026-08-26T16:47:19Z</dcterms:modified>
  <cp:lastModifiedBy>loanl</cp:lastModifiedBy>
  <cp:revision>0</cp:revision>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9F7AB3F7979B97FA0967F869EA163140_42</vt:lpwstr>
  </property>
  <property name="KSOProductBuildVer" fmtid="{D5CDD505-2E9C-101B-9397-08002B2CF9AE}" pid="3">
    <vt:lpwstr xmlns:vt="http://schemas.openxmlformats.org/officeDocument/2006/docPropsVTypes">1033-12.1.0.28032</vt:lpwstr>
  </property>
  <property name="CalculationRule" fmtid="{D5CDD505-2E9C-101B-9397-08002B2CF9AE}" pid="4">
    <vt:i4 xmlns:vt="http://schemas.openxmlformats.org/officeDocument/2006/docPropsVTypes">0</vt:i4>
  </property>
</Properties>
</file>